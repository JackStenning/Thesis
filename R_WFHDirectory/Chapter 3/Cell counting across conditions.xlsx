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ps558\OneDrive - University of York\Desktop\Thesis\Chapter 3 - Long read CC\Broken Heart effency\"/>
    </mc:Choice>
  </mc:AlternateContent>
  <xr:revisionPtr revIDLastSave="0" documentId="13_ncr:1_{410C8DA8-D8CF-4DA3-A53D-9E50ADCD84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ith 0.45 -0.55" sheetId="4" r:id="rId1"/>
    <sheet name="Sheet1" sheetId="5" r:id="rId2"/>
  </sheets>
  <definedNames>
    <definedName name="_xlnm.Print_Area" localSheetId="0">'With 0.45 -0.55'!$C$1:$P$3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4" l="1"/>
  <c r="O13" i="4"/>
  <c r="L13" i="4"/>
  <c r="I13" i="4"/>
  <c r="F13" i="4"/>
  <c r="O12" i="4"/>
  <c r="L12" i="4"/>
  <c r="I12" i="4"/>
  <c r="F12" i="4"/>
  <c r="O11" i="4"/>
  <c r="L11" i="4"/>
  <c r="I11" i="4"/>
  <c r="F11" i="4"/>
  <c r="O10" i="4"/>
  <c r="L10" i="4"/>
  <c r="I10" i="4"/>
  <c r="F10" i="4"/>
  <c r="O9" i="4"/>
  <c r="L9" i="4"/>
  <c r="P8" i="4" s="1"/>
  <c r="I9" i="4"/>
  <c r="F9" i="4"/>
  <c r="O8" i="4"/>
  <c r="L8" i="4"/>
  <c r="I8" i="4"/>
  <c r="F8" i="4"/>
  <c r="F4" i="4"/>
  <c r="F5" i="4"/>
  <c r="F2" i="4"/>
  <c r="F3" i="4"/>
  <c r="I4" i="4"/>
  <c r="L4" i="4"/>
  <c r="I5" i="4"/>
  <c r="L5" i="4"/>
  <c r="I2" i="4"/>
  <c r="L2" i="4"/>
  <c r="I3" i="4"/>
  <c r="L3" i="4"/>
  <c r="P12" i="4" l="1"/>
  <c r="P10" i="4"/>
  <c r="O3" i="4"/>
  <c r="O2" i="4"/>
  <c r="O5" i="4"/>
  <c r="O4" i="4"/>
  <c r="P4" i="4" s="1"/>
  <c r="P2" i="4" l="1"/>
</calcChain>
</file>

<file path=xl/sharedStrings.xml><?xml version="1.0" encoding="utf-8"?>
<sst xmlns="http://schemas.openxmlformats.org/spreadsheetml/2006/main" count="34" uniqueCount="33">
  <si>
    <t>Condition name</t>
  </si>
  <si>
    <t>0.4x10^6 cell/well - Rep 1</t>
  </si>
  <si>
    <t>0.4x10^6 cell/well - Rep 2</t>
  </si>
  <si>
    <t>0.37x10^6 cell/well - Rep 1</t>
  </si>
  <si>
    <t>0.37x10^6 cell/well - Rep 2</t>
  </si>
  <si>
    <t>0.35x10^6 cell/well - Rep 1</t>
  </si>
  <si>
    <t>0.35x10^6 cell/well - Rep 2</t>
  </si>
  <si>
    <t>Top total cell count 1</t>
  </si>
  <si>
    <t>Top Red cell count 1</t>
  </si>
  <si>
    <t>Left Total cell count 2</t>
  </si>
  <si>
    <t>Left Red cell count 2</t>
  </si>
  <si>
    <t>Left % Red 2</t>
  </si>
  <si>
    <t>top % Red 1</t>
  </si>
  <si>
    <t>right Total cell count 3</t>
  </si>
  <si>
    <t>right Red cell count 3</t>
  </si>
  <si>
    <t>right % Red 3</t>
  </si>
  <si>
    <t>Bottom Total cell count 4</t>
  </si>
  <si>
    <t>Bottom Red cell count 4</t>
  </si>
  <si>
    <t>Bottom % Red 4</t>
  </si>
  <si>
    <t>Average</t>
  </si>
  <si>
    <t>0.45x10^6 cell/well - Rep 1</t>
  </si>
  <si>
    <t>0.45x10^6 cell/well - Rep 2</t>
  </si>
  <si>
    <t>0.5x10^6 cell/well - Rep 1</t>
  </si>
  <si>
    <t>0.5x10^6 cell/well - Rep 2</t>
  </si>
  <si>
    <t>0.55x10^6 cell/well - Rep 1</t>
  </si>
  <si>
    <t>0.55x10^6 cell/well - Rep 2</t>
  </si>
  <si>
    <t>0.55x10^6 cell/well</t>
  </si>
  <si>
    <t>0.50x10^6 cell/well</t>
  </si>
  <si>
    <t>0.45x10^6 cell/well</t>
  </si>
  <si>
    <t>0.40x10^6 cell/well</t>
  </si>
  <si>
    <t>0.37x10^6 cell/well</t>
  </si>
  <si>
    <t>0.35x10^6 cell/well</t>
  </si>
  <si>
    <t>Seeding density (cells/well)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</si>
</sst>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1" fillId="2" borderId="3" xfId="0" applyFont="1" applyFill="1" applyBorder="1" applyAlignment="1">
      <alignment horizontal="right" wrapText="1"/>
    </xf>
    <xf numFmtId="0" fontId="1" fillId="3" borderId="3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0.55x10^6 cell/well</c:v>
                </c:pt>
                <c:pt idx="1">
                  <c:v>0.50x10^6 cell/well</c:v>
                </c:pt>
                <c:pt idx="2">
                  <c:v>0.45x10^6 cell/well</c:v>
                </c:pt>
                <c:pt idx="3">
                  <c:v>0.40x10^6 cell/well</c:v>
                </c:pt>
                <c:pt idx="4">
                  <c:v>0.37x10^6 cell/well</c:v>
                </c:pt>
                <c:pt idx="5">
                  <c:v>0.35x10^6 cell/well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8.0490402231364619</c:v>
                </c:pt>
                <c:pt idx="1">
                  <c:v>8.764224924680077</c:v>
                </c:pt>
                <c:pt idx="2">
                  <c:v>9.9169220318847024</c:v>
                </c:pt>
                <c:pt idx="3">
                  <c:v>8.6330083599528091</c:v>
                </c:pt>
                <c:pt idx="4">
                  <c:v>9.7061165732971535</c:v>
                </c:pt>
                <c:pt idx="5">
                  <c:v>8.7014912637581041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B-4D13-B76D-64D8DA395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4099344"/>
        <c:axId val="1024408528"/>
      </c:barChart>
      <c:catAx>
        <c:axId val="102409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408528"/>
        <c:crosses val="autoZero"/>
        <c:auto val="1"/>
        <c:lblAlgn val="ctr"/>
        <c:lblOffset val="100"/>
        <c:noMultiLvlLbl val="0"/>
      </c:catAx>
      <c:valAx>
        <c:axId val="10244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09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661339-7173-89F0-E42C-2D216746D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3"/>
  <sheetViews>
    <sheetView topLeftCell="C1" workbookViewId="0">
      <selection activeCell="R6" sqref="R6:Y22"/>
    </sheetView>
  </sheetViews>
  <sheetFormatPr defaultRowHeight="15" x14ac:dyDescent="0.25"/>
  <cols>
    <col min="1" max="1" width="0" hidden="1" customWidth="1"/>
    <col min="2" max="2" width="1.140625" hidden="1" customWidth="1"/>
    <col min="3" max="3" width="14.42578125" customWidth="1"/>
    <col min="4" max="15" width="7.140625" customWidth="1"/>
    <col min="16" max="16" width="7.85546875" customWidth="1"/>
    <col min="17" max="17" width="10.85546875" bestFit="1" customWidth="1"/>
    <col min="18" max="18" width="11.5703125" bestFit="1" customWidth="1"/>
  </cols>
  <sheetData>
    <row r="1" spans="3:16" ht="52.5" thickBot="1" x14ac:dyDescent="0.3">
      <c r="C1" s="1" t="s">
        <v>0</v>
      </c>
      <c r="D1" s="1" t="s">
        <v>7</v>
      </c>
      <c r="E1" s="1" t="s">
        <v>8</v>
      </c>
      <c r="F1" s="2" t="s">
        <v>12</v>
      </c>
      <c r="G1" s="1" t="s">
        <v>9</v>
      </c>
      <c r="H1" s="1" t="s">
        <v>10</v>
      </c>
      <c r="I1" s="2" t="s">
        <v>11</v>
      </c>
      <c r="J1" s="1" t="s">
        <v>13</v>
      </c>
      <c r="K1" s="1" t="s">
        <v>14</v>
      </c>
      <c r="L1" s="2" t="s">
        <v>15</v>
      </c>
      <c r="M1" s="1" t="s">
        <v>16</v>
      </c>
      <c r="N1" s="1" t="s">
        <v>17</v>
      </c>
      <c r="O1" s="6" t="s">
        <v>18</v>
      </c>
      <c r="P1" s="9" t="s">
        <v>19</v>
      </c>
    </row>
    <row r="2" spans="3:16" ht="26.25" x14ac:dyDescent="0.25">
      <c r="C2" s="1" t="s">
        <v>24</v>
      </c>
      <c r="D2" s="3">
        <v>163</v>
      </c>
      <c r="E2" s="3">
        <v>15</v>
      </c>
      <c r="F2" s="4">
        <f>(E2/D2)*100</f>
        <v>9.2024539877300615</v>
      </c>
      <c r="G2" s="3">
        <v>217</v>
      </c>
      <c r="H2" s="3">
        <v>16</v>
      </c>
      <c r="I2" s="4">
        <f>(H2/G2)*100</f>
        <v>7.3732718894009217</v>
      </c>
      <c r="J2" s="3">
        <v>223</v>
      </c>
      <c r="K2" s="3">
        <v>9</v>
      </c>
      <c r="L2" s="4">
        <f>(K2/J2)*100</f>
        <v>4.0358744394618835</v>
      </c>
      <c r="M2" s="3">
        <v>270</v>
      </c>
      <c r="N2" s="3">
        <v>25</v>
      </c>
      <c r="O2" s="7">
        <f>(N2/M2)*100</f>
        <v>9.2592592592592595</v>
      </c>
      <c r="P2" s="10">
        <f>AVERAGE(F2,I2,L2,O2,F3,I3,L3,O3)</f>
        <v>8.0490402231364619</v>
      </c>
    </row>
    <row r="3" spans="3:16" ht="27" thickBot="1" x14ac:dyDescent="0.3">
      <c r="C3" s="1" t="s">
        <v>25</v>
      </c>
      <c r="D3" s="1">
        <v>226</v>
      </c>
      <c r="E3" s="1">
        <v>18</v>
      </c>
      <c r="F3" s="4">
        <f>(E3/D3)*100</f>
        <v>7.9646017699115044</v>
      </c>
      <c r="G3" s="1">
        <v>270</v>
      </c>
      <c r="H3" s="1">
        <v>23</v>
      </c>
      <c r="I3" s="4">
        <f t="shared" ref="I3" si="0">(H3/G3)*100</f>
        <v>8.518518518518519</v>
      </c>
      <c r="J3" s="1">
        <v>167</v>
      </c>
      <c r="K3" s="1">
        <v>12</v>
      </c>
      <c r="L3" s="4">
        <f>(K3/J3)*100</f>
        <v>7.1856287425149699</v>
      </c>
      <c r="M3" s="1">
        <v>129</v>
      </c>
      <c r="N3" s="1">
        <v>14</v>
      </c>
      <c r="O3" s="7">
        <f t="shared" ref="O3" si="1">(N3/M3)*100</f>
        <v>10.852713178294573</v>
      </c>
      <c r="P3" s="11"/>
    </row>
    <row r="4" spans="3:16" ht="26.25" x14ac:dyDescent="0.25">
      <c r="C4" s="1" t="s">
        <v>22</v>
      </c>
      <c r="D4" s="3">
        <v>172</v>
      </c>
      <c r="E4" s="3">
        <v>16</v>
      </c>
      <c r="F4" s="4">
        <f>(E4/D4)*100</f>
        <v>9.3023255813953494</v>
      </c>
      <c r="G4" s="3">
        <v>107</v>
      </c>
      <c r="H4" s="3">
        <v>9</v>
      </c>
      <c r="I4" s="4">
        <f>(H4/G4)*100</f>
        <v>8.4112149532710276</v>
      </c>
      <c r="J4" s="3">
        <v>232</v>
      </c>
      <c r="K4" s="3">
        <v>18</v>
      </c>
      <c r="L4" s="4">
        <f>(K4/J4)*100</f>
        <v>7.7586206896551726</v>
      </c>
      <c r="M4" s="5">
        <v>170</v>
      </c>
      <c r="N4" s="5">
        <v>18</v>
      </c>
      <c r="O4" s="7">
        <f>(N4/M4)*100</f>
        <v>10.588235294117647</v>
      </c>
      <c r="P4" s="10">
        <f t="shared" ref="P4" si="2">AVERAGE(F4,I4,L4,O4,F5,I5,L5,O5)</f>
        <v>8.764224924680077</v>
      </c>
    </row>
    <row r="5" spans="3:16" ht="27" thickBot="1" x14ac:dyDescent="0.3">
      <c r="C5" s="1" t="s">
        <v>23</v>
      </c>
      <c r="D5" s="3">
        <v>185</v>
      </c>
      <c r="E5" s="3">
        <v>14</v>
      </c>
      <c r="F5" s="4">
        <f>(E5/D5)*100</f>
        <v>7.5675675675675684</v>
      </c>
      <c r="G5" s="3">
        <v>87</v>
      </c>
      <c r="H5" s="3">
        <v>8</v>
      </c>
      <c r="I5" s="4">
        <f>(H5/G5)*100</f>
        <v>9.1954022988505741</v>
      </c>
      <c r="J5" s="3">
        <v>224</v>
      </c>
      <c r="K5" s="3">
        <v>19</v>
      </c>
      <c r="L5" s="4">
        <f>(K5/J5)*100</f>
        <v>8.4821428571428577</v>
      </c>
      <c r="M5" s="5">
        <v>193</v>
      </c>
      <c r="N5" s="5">
        <v>17</v>
      </c>
      <c r="O5" s="7">
        <f>(N5/M5)*100</f>
        <v>8.8082901554404138</v>
      </c>
      <c r="P5" s="11"/>
    </row>
    <row r="6" spans="3:16" ht="26.25" x14ac:dyDescent="0.25">
      <c r="C6" s="1" t="s">
        <v>20</v>
      </c>
      <c r="D6" s="3">
        <v>158</v>
      </c>
      <c r="E6" s="3">
        <v>15</v>
      </c>
      <c r="F6" s="4">
        <v>9.4936708860759502</v>
      </c>
      <c r="G6" s="3">
        <v>349</v>
      </c>
      <c r="H6" s="3">
        <v>33</v>
      </c>
      <c r="I6" s="4">
        <v>9.455587392550143</v>
      </c>
      <c r="J6" s="3">
        <v>227</v>
      </c>
      <c r="K6" s="3">
        <v>27</v>
      </c>
      <c r="L6" s="4">
        <v>11.894273127753303</v>
      </c>
      <c r="M6" s="3">
        <v>382</v>
      </c>
      <c r="N6" s="3">
        <v>32</v>
      </c>
      <c r="O6" s="7">
        <v>8.3769633507853403</v>
      </c>
      <c r="P6" s="10">
        <f t="shared" ref="P6" si="3">AVERAGE(F6,I6,L6,O6,F7,I7,L7,O7)</f>
        <v>9.9169220318847024</v>
      </c>
    </row>
    <row r="7" spans="3:16" ht="27" thickBot="1" x14ac:dyDescent="0.3">
      <c r="C7" s="1" t="s">
        <v>21</v>
      </c>
      <c r="D7" s="3">
        <v>274</v>
      </c>
      <c r="E7" s="3">
        <v>23</v>
      </c>
      <c r="F7" s="4">
        <v>8.3941605839416056</v>
      </c>
      <c r="G7" s="3">
        <v>269</v>
      </c>
      <c r="H7" s="3">
        <v>24</v>
      </c>
      <c r="I7" s="4">
        <v>8.921933085501859</v>
      </c>
      <c r="J7" s="3">
        <v>218</v>
      </c>
      <c r="K7" s="3">
        <v>28</v>
      </c>
      <c r="L7" s="4">
        <v>12.844036697247708</v>
      </c>
      <c r="M7" s="3">
        <v>221</v>
      </c>
      <c r="N7" s="3">
        <v>22</v>
      </c>
      <c r="O7" s="7">
        <v>9.9547511312217196</v>
      </c>
      <c r="P7" s="11"/>
    </row>
    <row r="8" spans="3:16" ht="26.25" x14ac:dyDescent="0.25">
      <c r="C8" s="1" t="s">
        <v>1</v>
      </c>
      <c r="D8" s="3">
        <v>100</v>
      </c>
      <c r="E8" s="3">
        <v>8</v>
      </c>
      <c r="F8" s="4">
        <f t="shared" ref="F8:F13" si="4">(E8/D8)*100</f>
        <v>8</v>
      </c>
      <c r="G8" s="3">
        <v>149</v>
      </c>
      <c r="H8" s="3">
        <v>14</v>
      </c>
      <c r="I8" s="4">
        <f>(H8/G8)*100</f>
        <v>9.3959731543624159</v>
      </c>
      <c r="J8" s="3">
        <v>507</v>
      </c>
      <c r="K8" s="3">
        <v>19</v>
      </c>
      <c r="L8" s="4">
        <f t="shared" ref="L8:L13" si="5">(K8/J8)*100</f>
        <v>3.7475345167652856</v>
      </c>
      <c r="M8" s="3">
        <v>150</v>
      </c>
      <c r="N8" s="3">
        <v>15</v>
      </c>
      <c r="O8" s="7">
        <f>(N8/M8)*100</f>
        <v>10</v>
      </c>
      <c r="P8" s="10">
        <f t="shared" ref="P8" si="6">AVERAGE(F8,I8,L8,O8,F9,I9,L9,O9)</f>
        <v>8.6330083599528091</v>
      </c>
    </row>
    <row r="9" spans="3:16" ht="27" thickBot="1" x14ac:dyDescent="0.3">
      <c r="C9" s="1" t="s">
        <v>2</v>
      </c>
      <c r="D9" s="3">
        <v>170</v>
      </c>
      <c r="E9" s="3">
        <v>13</v>
      </c>
      <c r="F9" s="4">
        <f t="shared" si="4"/>
        <v>7.6470588235294121</v>
      </c>
      <c r="G9" s="3">
        <v>104</v>
      </c>
      <c r="H9" s="3">
        <v>9</v>
      </c>
      <c r="I9" s="4">
        <f>(H9/G9)*100</f>
        <v>8.6538461538461533</v>
      </c>
      <c r="J9" s="3">
        <v>157</v>
      </c>
      <c r="K9" s="3">
        <v>16</v>
      </c>
      <c r="L9" s="4">
        <f t="shared" si="5"/>
        <v>10.191082802547772</v>
      </c>
      <c r="M9" s="3">
        <v>70</v>
      </c>
      <c r="N9" s="3">
        <v>8</v>
      </c>
      <c r="O9" s="7">
        <f>(N9/M9)*100</f>
        <v>11.428571428571429</v>
      </c>
      <c r="P9" s="11"/>
    </row>
    <row r="10" spans="3:16" ht="26.25" x14ac:dyDescent="0.25">
      <c r="C10" s="1" t="s">
        <v>3</v>
      </c>
      <c r="D10" s="3">
        <v>104</v>
      </c>
      <c r="E10" s="3">
        <v>10</v>
      </c>
      <c r="F10" s="4">
        <f t="shared" si="4"/>
        <v>9.6153846153846168</v>
      </c>
      <c r="G10" s="3">
        <v>213</v>
      </c>
      <c r="H10" s="3">
        <v>17</v>
      </c>
      <c r="I10" s="4">
        <f>(H10/G10)*100</f>
        <v>7.981220657276995</v>
      </c>
      <c r="J10" s="3">
        <v>63</v>
      </c>
      <c r="K10" s="3">
        <v>6</v>
      </c>
      <c r="L10" s="4">
        <f t="shared" si="5"/>
        <v>9.5238095238095237</v>
      </c>
      <c r="M10" s="5">
        <v>206</v>
      </c>
      <c r="N10" s="5">
        <v>18</v>
      </c>
      <c r="O10" s="7">
        <f>(N10/M10)*100</f>
        <v>8.7378640776699026</v>
      </c>
      <c r="P10" s="10">
        <f t="shared" ref="P10" si="7">AVERAGE(F10,I10,L10,O10,F11,I11,L11,O11)</f>
        <v>9.7061165732971535</v>
      </c>
    </row>
    <row r="11" spans="3:16" ht="27" thickBot="1" x14ac:dyDescent="0.3">
      <c r="C11" s="1" t="s">
        <v>4</v>
      </c>
      <c r="D11" s="3">
        <v>149</v>
      </c>
      <c r="E11" s="3">
        <v>15</v>
      </c>
      <c r="F11" s="4">
        <f t="shared" si="4"/>
        <v>10.067114093959731</v>
      </c>
      <c r="G11" s="3">
        <v>143</v>
      </c>
      <c r="H11" s="3">
        <v>11</v>
      </c>
      <c r="I11" s="4">
        <f>(H11/G11)*100</f>
        <v>7.6923076923076925</v>
      </c>
      <c r="J11" s="3">
        <v>182</v>
      </c>
      <c r="K11" s="3">
        <v>15</v>
      </c>
      <c r="L11" s="4">
        <f t="shared" si="5"/>
        <v>8.2417582417582409</v>
      </c>
      <c r="M11" s="5">
        <v>76</v>
      </c>
      <c r="N11" s="5">
        <v>12</v>
      </c>
      <c r="O11" s="8">
        <f>(N11/M11)*100</f>
        <v>15.789473684210526</v>
      </c>
      <c r="P11" s="11"/>
    </row>
    <row r="12" spans="3:16" ht="26.25" x14ac:dyDescent="0.25">
      <c r="C12" s="1" t="s">
        <v>5</v>
      </c>
      <c r="D12" s="3">
        <v>82</v>
      </c>
      <c r="E12" s="3">
        <v>7</v>
      </c>
      <c r="F12" s="4">
        <f t="shared" si="4"/>
        <v>8.536585365853659</v>
      </c>
      <c r="G12" s="3">
        <v>311</v>
      </c>
      <c r="H12" s="3">
        <v>22</v>
      </c>
      <c r="I12" s="4">
        <f>(H12/G12)*100</f>
        <v>7.07395498392283</v>
      </c>
      <c r="J12" s="3">
        <v>145</v>
      </c>
      <c r="K12" s="3">
        <v>7</v>
      </c>
      <c r="L12" s="4">
        <f t="shared" si="5"/>
        <v>4.8275862068965516</v>
      </c>
      <c r="M12" s="3">
        <v>89</v>
      </c>
      <c r="N12" s="3">
        <v>10</v>
      </c>
      <c r="O12" s="7">
        <f>(N12/M12)*100</f>
        <v>11.235955056179774</v>
      </c>
      <c r="P12" s="10">
        <f t="shared" ref="P12" si="8">AVERAGE(F12,I12,L12,O12,F13,I13,L13,O13)</f>
        <v>8.7014912637581041</v>
      </c>
    </row>
    <row r="13" spans="3:16" ht="27" thickBot="1" x14ac:dyDescent="0.3">
      <c r="C13" s="1" t="s">
        <v>6</v>
      </c>
      <c r="D13" s="1">
        <v>90</v>
      </c>
      <c r="E13" s="1">
        <v>8</v>
      </c>
      <c r="F13" s="4">
        <f t="shared" si="4"/>
        <v>8.8888888888888893</v>
      </c>
      <c r="G13" s="1">
        <v>200</v>
      </c>
      <c r="H13" s="1">
        <v>18</v>
      </c>
      <c r="I13" s="4">
        <f t="shared" ref="I13" si="9">(H13/G13)*100</f>
        <v>9</v>
      </c>
      <c r="J13" s="1">
        <v>95</v>
      </c>
      <c r="K13" s="1">
        <v>8</v>
      </c>
      <c r="L13" s="4">
        <f t="shared" si="5"/>
        <v>8.4210526315789469</v>
      </c>
      <c r="M13" s="1">
        <v>86</v>
      </c>
      <c r="N13" s="1">
        <v>10</v>
      </c>
      <c r="O13" s="7">
        <f t="shared" ref="O13" si="10">(N13/M13)*100</f>
        <v>11.627906976744185</v>
      </c>
      <c r="P13" s="11"/>
    </row>
  </sheetData>
  <mergeCells count="6">
    <mergeCell ref="P12:P13"/>
    <mergeCell ref="P2:P3"/>
    <mergeCell ref="P4:P5"/>
    <mergeCell ref="P6:P7"/>
    <mergeCell ref="P8:P9"/>
    <mergeCell ref="P10:P1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549E-6B3B-44EA-BCB0-CB93847D2459}">
  <dimension ref="A1:B7"/>
  <sheetViews>
    <sheetView tabSelected="1" workbookViewId="0">
      <selection sqref="A1:B7"/>
    </sheetView>
  </sheetViews>
  <sheetFormatPr defaultRowHeight="15" x14ac:dyDescent="0.25"/>
  <sheetData>
    <row r="1" spans="1:2" x14ac:dyDescent="0.25">
      <c r="A1" t="s">
        <v>32</v>
      </c>
      <c r="B1" t="s">
        <v>19</v>
      </c>
    </row>
    <row r="2" spans="1:2" x14ac:dyDescent="0.25">
      <c r="A2" t="s">
        <v>26</v>
      </c>
      <c r="B2">
        <v>8.0490402231364619</v>
      </c>
    </row>
    <row r="3" spans="1:2" x14ac:dyDescent="0.25">
      <c r="A3" t="s">
        <v>27</v>
      </c>
      <c r="B3">
        <v>8.764224924680077</v>
      </c>
    </row>
    <row r="4" spans="1:2" x14ac:dyDescent="0.25">
      <c r="A4" t="s">
        <v>28</v>
      </c>
      <c r="B4">
        <v>9.9169220318847024</v>
      </c>
    </row>
    <row r="5" spans="1:2" x14ac:dyDescent="0.25">
      <c r="A5" t="s">
        <v>29</v>
      </c>
      <c r="B5">
        <v>8.6330083599528091</v>
      </c>
    </row>
    <row r="6" spans="1:2" x14ac:dyDescent="0.25">
      <c r="A6" t="s">
        <v>30</v>
      </c>
      <c r="B6">
        <v>9.7061165732971535</v>
      </c>
    </row>
    <row r="7" spans="1:2" x14ac:dyDescent="0.25">
      <c r="A7" t="s">
        <v>31</v>
      </c>
      <c r="B7">
        <v>8.7014912637581041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With 0.45 -0.55</vt:lpstr>
      <vt:lpstr>Sheet1</vt:lpstr>
      <vt:lpstr>'With 0.45 -0.55'!Print_Area</vt:lpstr>
    </vt:vector>
  </TitlesOfParts>
  <Company>University of York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Stenning</dc:creator>
  <cp:lastModifiedBy>Jack Stenning</cp:lastModifiedBy>
  <cp:lastPrinted>2023-09-18T13:14:04Z</cp:lastPrinted>
  <dcterms:created xsi:type="dcterms:W3CDTF">2023-07-14T10:30:18Z</dcterms:created>
  <dcterms:modified xsi:type="dcterms:W3CDTF">2025-09-08T13:02:43Z</dcterms:modified>
</cp:coreProperties>
</file>