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ps558\OneDrive - University of York\Desktop\R_WorkingDirectory\R_WFHDirectory\spheroids\Initial seeding\"/>
    </mc:Choice>
  </mc:AlternateContent>
  <xr:revisionPtr revIDLastSave="0" documentId="13_ncr:1_{52FD486E-E315-4FA0-9BA2-A1FA415C85AE}" xr6:coauthVersionLast="47" xr6:coauthVersionMax="47" xr10:uidLastSave="{00000000-0000-0000-0000-000000000000}"/>
  <bookViews>
    <workbookView xWindow="-19310" yWindow="-110" windowWidth="19420" windowHeight="10300" activeTab="2" xr2:uid="{00000000-000D-0000-FFFF-FFFF00000000}"/>
  </bookViews>
  <sheets>
    <sheet name="500 cellswell" sheetId="1" r:id="rId1"/>
    <sheet name="1000 cellswell" sheetId="2" r:id="rId2"/>
    <sheet name="5000 cellswell" sheetId="3" r:id="rId3"/>
    <sheet name="10000 cellswell" sheetId="4" r:id="rId4"/>
    <sheet name="Combin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8" i="5" l="1"/>
  <c r="G138" i="5"/>
  <c r="F138" i="5"/>
  <c r="E138" i="5"/>
  <c r="D138" i="5"/>
  <c r="C138" i="5"/>
  <c r="H137" i="5"/>
  <c r="G137" i="5"/>
  <c r="F137" i="5"/>
  <c r="E137" i="5"/>
  <c r="D137" i="5"/>
  <c r="C137" i="5"/>
  <c r="H112" i="5"/>
  <c r="G112" i="5"/>
  <c r="F112" i="5"/>
  <c r="E112" i="5"/>
  <c r="D112" i="5"/>
  <c r="C112" i="5"/>
  <c r="H111" i="5"/>
  <c r="G111" i="5"/>
  <c r="F111" i="5"/>
  <c r="E111" i="5"/>
  <c r="D111" i="5"/>
  <c r="C111" i="5"/>
  <c r="H88" i="5"/>
  <c r="G88" i="5"/>
  <c r="F88" i="5"/>
  <c r="E88" i="5"/>
  <c r="D88" i="5"/>
  <c r="C88" i="5"/>
  <c r="B88" i="5"/>
  <c r="H87" i="5"/>
  <c r="G87" i="5"/>
  <c r="F87" i="5"/>
  <c r="E87" i="5"/>
  <c r="D87" i="5"/>
  <c r="C87" i="5"/>
  <c r="B87" i="5"/>
  <c r="H54" i="5"/>
  <c r="G54" i="5"/>
  <c r="F54" i="5"/>
  <c r="E54" i="5"/>
  <c r="D54" i="5"/>
  <c r="C54" i="5"/>
  <c r="B54" i="5"/>
  <c r="H53" i="5"/>
  <c r="G53" i="5"/>
  <c r="F53" i="5"/>
  <c r="E53" i="5"/>
  <c r="D53" i="5"/>
  <c r="C53" i="5"/>
  <c r="B53" i="5"/>
  <c r="H16" i="5"/>
  <c r="G16" i="5"/>
  <c r="F16" i="5"/>
  <c r="E16" i="5"/>
  <c r="D16" i="5"/>
  <c r="C16" i="5"/>
  <c r="B16" i="5"/>
  <c r="H15" i="5"/>
  <c r="G15" i="5"/>
  <c r="F15" i="5"/>
  <c r="E15" i="5"/>
  <c r="D15" i="5"/>
  <c r="C15" i="5"/>
  <c r="B15" i="5"/>
</calcChain>
</file>

<file path=xl/sharedStrings.xml><?xml version="1.0" encoding="utf-8"?>
<sst xmlns="http://schemas.openxmlformats.org/spreadsheetml/2006/main" count="230" uniqueCount="75">
  <si>
    <t>Well ID</t>
  </si>
  <si>
    <t>Day 1 size</t>
  </si>
  <si>
    <t>Day 2</t>
  </si>
  <si>
    <t>Day 3</t>
  </si>
  <si>
    <t>Day 4</t>
  </si>
  <si>
    <t>Day 5</t>
  </si>
  <si>
    <t>Day 6</t>
  </si>
  <si>
    <t>Day 7</t>
  </si>
  <si>
    <t>- Size measured in um</t>
  </si>
  <si>
    <t>B1</t>
  </si>
  <si>
    <t>B2</t>
  </si>
  <si>
    <t>B3</t>
  </si>
  <si>
    <t>Day</t>
  </si>
  <si>
    <t>500 Cell/well</t>
  </si>
  <si>
    <t>Standard Dev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</si>
  <si>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</si>
  <si>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</si>
  <si>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</si>
  <si>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</si>
  <si>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</si>
  <si>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</si>
  <si>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</si>
  <si>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</si>
  <si>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</si>
  <si>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Average</t>
  </si>
  <si>
    <t>Day 2 size</t>
  </si>
  <si>
    <t>Day 3 size</t>
  </si>
  <si>
    <t>Day 4 size</t>
  </si>
  <si>
    <t>Day 5 size</t>
  </si>
  <si>
    <t>Day 6 size</t>
  </si>
  <si>
    <t>Day 7 size</t>
  </si>
  <si>
    <t>C1</t>
  </si>
  <si>
    <t>C2</t>
  </si>
  <si>
    <t>C3</t>
  </si>
  <si>
    <t>Excluded due to initial shape abnormality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</si>
  <si>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</si>
  <si>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</si>
  <si>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</si>
  <si>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</si>
  <si>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</si>
  <si>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</si>
  <si>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</si>
  <si>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</si>
  <si>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</si>
  <si>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Average*</t>
  </si>
  <si>
    <t>Standard Dev*</t>
  </si>
  <si>
    <t>*Excluding C3 and C8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</si>
  <si>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</si>
  <si>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</si>
  <si>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</si>
  <si>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</si>
  <si>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</si>
  <si>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</si>
  <si>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</si>
  <si>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</si>
  <si>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</si>
  <si>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</si>
  <si>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</si>
  <si>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</si>
  <si>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</si>
  <si>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</si>
  <si>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</si>
  <si>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</si>
  <si>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</si>
  <si>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</si>
  <si>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</si>
  <si>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</si>
  <si>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</si>
  <si>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</si>
  <si>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</si>
  <si>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</si>
  <si>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1000 Cell/well</t>
  </si>
  <si>
    <t>5000 Cell/well</t>
  </si>
  <si>
    <t>10000 Cell/well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</si>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</sst>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&quot;Aptos Narrow&quot;"/>
    </font>
    <font>
      <b/>
      <strike/>
      <sz val="10"/>
      <color theme="1"/>
      <name val="Arial"/>
      <scheme val="minor"/>
    </font>
    <font>
      <sz val="11"/>
      <color rgb="FF000000"/>
      <name val="Aptos Narrow"/>
      <family val="2"/>
    </font>
    <font>
      <sz val="10"/>
      <color rgb="FF000000"/>
      <name val="Arial"/>
      <family val="2"/>
      <scheme val="minor"/>
    </font>
    <font>
      <sz val="11"/>
      <color rgb="FF000000"/>
      <name val="Aptos Narrow"/>
    </font>
    <font>
      <sz val="11"/>
      <color rgb="FF000000"/>
      <name val="Calibri"/>
      <family val="2"/>
    </font>
    <font>
      <b/>
      <strike/>
      <sz val="11"/>
      <color rgb="FF000000"/>
      <name val="Aptos Narrow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5" xfId="0" applyFont="1" applyBorder="1"/>
    <xf numFmtId="0" fontId="4" fillId="0" borderId="6" xfId="0" applyFont="1" applyBorder="1"/>
    <xf numFmtId="0" fontId="1" fillId="0" borderId="9" xfId="0" applyFont="1" applyBorder="1"/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3" fillId="0" borderId="8" xfId="0" applyFont="1" applyBorder="1" applyAlignment="1">
      <alignment horizontal="right"/>
    </xf>
    <xf numFmtId="0" fontId="1" fillId="0" borderId="8" xfId="0" applyFont="1" applyBorder="1"/>
    <xf numFmtId="0" fontId="5" fillId="0" borderId="8" xfId="0" applyFont="1" applyBorder="1" applyAlignment="1">
      <alignment horizontal="right" wrapText="1"/>
    </xf>
    <xf numFmtId="0" fontId="6" fillId="0" borderId="8" xfId="0" applyFont="1" applyBorder="1" applyAlignment="1">
      <alignment horizontal="right" wrapText="1"/>
    </xf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1" fillId="0" borderId="12" xfId="0" applyFont="1" applyBorder="1"/>
    <xf numFmtId="0" fontId="3" fillId="0" borderId="13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0" fontId="5" fillId="0" borderId="14" xfId="0" applyFont="1" applyBorder="1" applyAlignment="1">
      <alignment horizontal="right" wrapText="1"/>
    </xf>
    <xf numFmtId="0" fontId="6" fillId="0" borderId="15" xfId="0" applyFont="1" applyBorder="1" applyAlignment="1">
      <alignment horizontal="right" wrapText="1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  <xf numFmtId="0" fontId="1" fillId="0" borderId="17" xfId="0" applyFont="1" applyBorder="1"/>
    <xf numFmtId="0" fontId="3" fillId="0" borderId="18" xfId="0" applyFont="1" applyBorder="1" applyAlignment="1">
      <alignment horizontal="right"/>
    </xf>
    <xf numFmtId="0" fontId="7" fillId="0" borderId="8" xfId="0" applyFont="1" applyBorder="1" applyAlignment="1">
      <alignment horizontal="right" wrapText="1"/>
    </xf>
    <xf numFmtId="0" fontId="8" fillId="0" borderId="8" xfId="0" applyFont="1" applyBorder="1" applyAlignment="1">
      <alignment horizontal="right" wrapText="1"/>
    </xf>
    <xf numFmtId="0" fontId="7" fillId="0" borderId="11" xfId="0" applyFont="1" applyBorder="1" applyAlignment="1">
      <alignment horizontal="right" wrapText="1"/>
    </xf>
    <xf numFmtId="0" fontId="7" fillId="0" borderId="12" xfId="0" applyFont="1" applyBorder="1" applyAlignment="1">
      <alignment horizontal="right" wrapText="1"/>
    </xf>
    <xf numFmtId="0" fontId="8" fillId="0" borderId="12" xfId="0" applyFont="1" applyBorder="1" applyAlignment="1">
      <alignment horizontal="right" wrapText="1"/>
    </xf>
    <xf numFmtId="0" fontId="8" fillId="0" borderId="13" xfId="0" applyFont="1" applyBorder="1" applyAlignment="1">
      <alignment horizontal="right" wrapText="1"/>
    </xf>
    <xf numFmtId="0" fontId="7" fillId="0" borderId="14" xfId="0" applyFont="1" applyBorder="1" applyAlignment="1">
      <alignment horizontal="right" wrapText="1"/>
    </xf>
    <xf numFmtId="0" fontId="8" fillId="0" borderId="15" xfId="0" applyFont="1" applyBorder="1" applyAlignment="1">
      <alignment horizontal="right" wrapText="1"/>
    </xf>
    <xf numFmtId="0" fontId="9" fillId="0" borderId="14" xfId="0" applyFont="1" applyBorder="1" applyAlignment="1">
      <alignment horizontal="right" wrapText="1"/>
    </xf>
    <xf numFmtId="0" fontId="7" fillId="0" borderId="16" xfId="0" applyFont="1" applyBorder="1" applyAlignment="1">
      <alignment horizontal="right" wrapText="1"/>
    </xf>
    <xf numFmtId="0" fontId="7" fillId="0" borderId="17" xfId="0" applyFont="1" applyBorder="1" applyAlignment="1">
      <alignment horizontal="right" wrapText="1"/>
    </xf>
    <xf numFmtId="0" fontId="8" fillId="0" borderId="17" xfId="0" applyFont="1" applyBorder="1" applyAlignment="1">
      <alignment horizontal="right" wrapText="1"/>
    </xf>
    <xf numFmtId="0" fontId="8" fillId="0" borderId="18" xfId="0" applyFont="1" applyBorder="1" applyAlignment="1">
      <alignment horizontal="right" wrapText="1"/>
    </xf>
    <xf numFmtId="0" fontId="6" fillId="0" borderId="12" xfId="0" applyFont="1" applyBorder="1" applyAlignment="1">
      <alignment horizontal="right" wrapText="1"/>
    </xf>
    <xf numFmtId="0" fontId="6" fillId="0" borderId="17" xfId="0" applyFont="1" applyBorder="1" applyAlignment="1">
      <alignment horizontal="right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Comparison of average</a:t>
            </a:r>
            <a:r>
              <a:rPr lang="en-US"/>
              <a:t> spheroid</a:t>
            </a:r>
            <a:r>
              <a:rPr lang="en-US" baseline="0"/>
              <a:t> size over seven days at varying cell densities seeded per well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4"/>
          <c:tx>
            <c:strRef>
              <c:f>Combined!$M$4</c:f>
              <c:strCache>
                <c:ptCount val="1"/>
                <c:pt idx="0">
                  <c:v>500 Cell/well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Combined!$M$12:$M$17</c:f>
                <c:numCache>
                  <c:formatCode>General</c:formatCode>
                  <c:ptCount val="6"/>
                  <c:pt idx="0">
                    <c:v>12.821634815160396</c:v>
                  </c:pt>
                  <c:pt idx="1">
                    <c:v>21.047769976708317</c:v>
                  </c:pt>
                  <c:pt idx="2">
                    <c:v>37.85207235139837</c:v>
                  </c:pt>
                  <c:pt idx="3">
                    <c:v>31.400838493316286</c:v>
                  </c:pt>
                  <c:pt idx="4">
                    <c:v>29.055587791361493</c:v>
                  </c:pt>
                  <c:pt idx="5">
                    <c:v>51.879320852836202</c:v>
                  </c:pt>
                </c:numCache>
              </c:numRef>
            </c:plus>
            <c:minus>
              <c:numRef>
                <c:f>Combined!$M$12:$M$17</c:f>
                <c:numCache>
                  <c:formatCode>General</c:formatCode>
                  <c:ptCount val="6"/>
                  <c:pt idx="0">
                    <c:v>12.821634815160396</c:v>
                  </c:pt>
                  <c:pt idx="1">
                    <c:v>21.047769976708317</c:v>
                  </c:pt>
                  <c:pt idx="2">
                    <c:v>37.85207235139837</c:v>
                  </c:pt>
                  <c:pt idx="3">
                    <c:v>31.400838493316286</c:v>
                  </c:pt>
                  <c:pt idx="4">
                    <c:v>29.055587791361493</c:v>
                  </c:pt>
                  <c:pt idx="5">
                    <c:v>51.879320852836202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numRef>
              <c:f>Combined!$L$5:$L$10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Combined!$M$5:$M$10</c:f>
              <c:numCache>
                <c:formatCode>General</c:formatCode>
                <c:ptCount val="6"/>
                <c:pt idx="0">
                  <c:v>248.57133333333334</c:v>
                </c:pt>
                <c:pt idx="1">
                  <c:v>300.54958333333337</c:v>
                </c:pt>
                <c:pt idx="2">
                  <c:v>333.06974999999994</c:v>
                </c:pt>
                <c:pt idx="3">
                  <c:v>381.97191666666669</c:v>
                </c:pt>
                <c:pt idx="4">
                  <c:v>402.05008333333336</c:v>
                </c:pt>
                <c:pt idx="5">
                  <c:v>458.95416666666665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40-4E2C-BC0D-3CFDF8176FB8}"/>
            </c:ext>
          </c:extLst>
        </c:ser>
        <c:ser>
          <c:idx val="1"/>
          <c:order val="5"/>
          <c:tx>
            <c:strRef>
              <c:f>Combined!$N$4</c:f>
              <c:strCache>
                <c:ptCount val="1"/>
                <c:pt idx="0">
                  <c:v>1000 Cell/well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Combined!$N$12:$N$17</c:f>
                <c:numCache>
                  <c:formatCode>General</c:formatCode>
                  <c:ptCount val="6"/>
                  <c:pt idx="0">
                    <c:v>88.359357657844711</c:v>
                  </c:pt>
                  <c:pt idx="1">
                    <c:v>74.653976099427524</c:v>
                  </c:pt>
                  <c:pt idx="2">
                    <c:v>70.313251429150995</c:v>
                  </c:pt>
                  <c:pt idx="3">
                    <c:v>52.968281134374649</c:v>
                  </c:pt>
                  <c:pt idx="4">
                    <c:v>44.633912847670075</c:v>
                  </c:pt>
                  <c:pt idx="5">
                    <c:v>93.235557842368735</c:v>
                  </c:pt>
                </c:numCache>
              </c:numRef>
            </c:plus>
            <c:minus>
              <c:numRef>
                <c:f>Combined!$N$12:$N$17</c:f>
                <c:numCache>
                  <c:formatCode>General</c:formatCode>
                  <c:ptCount val="6"/>
                  <c:pt idx="0">
                    <c:v>88.359357657844711</c:v>
                  </c:pt>
                  <c:pt idx="1">
                    <c:v>74.653976099427524</c:v>
                  </c:pt>
                  <c:pt idx="2">
                    <c:v>70.313251429150995</c:v>
                  </c:pt>
                  <c:pt idx="3">
                    <c:v>52.968281134374649</c:v>
                  </c:pt>
                  <c:pt idx="4">
                    <c:v>44.633912847670075</c:v>
                  </c:pt>
                  <c:pt idx="5">
                    <c:v>93.235557842368735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cat>
            <c:numRef>
              <c:f>Combined!$L$5:$L$10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Combined!$N$5:$N$10</c:f>
              <c:numCache>
                <c:formatCode>General</c:formatCode>
                <c:ptCount val="6"/>
                <c:pt idx="0">
                  <c:v>397.6825</c:v>
                </c:pt>
                <c:pt idx="1">
                  <c:v>423.36942307692306</c:v>
                </c:pt>
                <c:pt idx="2">
                  <c:v>440.57759090909093</c:v>
                </c:pt>
                <c:pt idx="3">
                  <c:v>473.34072222222221</c:v>
                </c:pt>
                <c:pt idx="4">
                  <c:v>489.0043571428572</c:v>
                </c:pt>
                <c:pt idx="5">
                  <c:v>574.36920000000009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40-4E2C-BC0D-3CFDF8176FB8}"/>
            </c:ext>
          </c:extLst>
        </c:ser>
        <c:ser>
          <c:idx val="2"/>
          <c:order val="6"/>
          <c:tx>
            <c:strRef>
              <c:f>Combined!$O$4</c:f>
              <c:strCache>
                <c:ptCount val="1"/>
                <c:pt idx="0">
                  <c:v>5000 Cell/well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Combined!$O$12:$O$17</c:f>
                <c:numCache>
                  <c:formatCode>General</c:formatCode>
                  <c:ptCount val="6"/>
                  <c:pt idx="0">
                    <c:v>29.87566071730388</c:v>
                  </c:pt>
                  <c:pt idx="1">
                    <c:v>28.648757260053259</c:v>
                  </c:pt>
                  <c:pt idx="2">
                    <c:v>29.767313990043135</c:v>
                  </c:pt>
                  <c:pt idx="3">
                    <c:v>54.733458034590164</c:v>
                  </c:pt>
                  <c:pt idx="4">
                    <c:v>58.521890154842538</c:v>
                  </c:pt>
                  <c:pt idx="5">
                    <c:v>56.431660421269861</c:v>
                  </c:pt>
                </c:numCache>
              </c:numRef>
            </c:plus>
            <c:minus>
              <c:numRef>
                <c:f>Combined!$O$12:$O$17</c:f>
                <c:numCache>
                  <c:formatCode>General</c:formatCode>
                  <c:ptCount val="6"/>
                  <c:pt idx="0">
                    <c:v>29.87566071730388</c:v>
                  </c:pt>
                  <c:pt idx="1">
                    <c:v>28.648757260053259</c:v>
                  </c:pt>
                  <c:pt idx="2">
                    <c:v>29.767313990043135</c:v>
                  </c:pt>
                  <c:pt idx="3">
                    <c:v>54.733458034590164</c:v>
                  </c:pt>
                  <c:pt idx="4">
                    <c:v>58.521890154842538</c:v>
                  </c:pt>
                  <c:pt idx="5">
                    <c:v>56.431660421269861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3">
                    <a:lumMod val="75000"/>
                  </a:schemeClr>
                </a:solidFill>
                <a:round/>
              </a:ln>
              <a:effectLst/>
            </c:spPr>
          </c:errBars>
          <c:cat>
            <c:numRef>
              <c:f>Combined!$L$5:$L$10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Combined!$O$5:$O$10</c:f>
              <c:numCache>
                <c:formatCode>General</c:formatCode>
                <c:ptCount val="6"/>
                <c:pt idx="0">
                  <c:v>529.62275</c:v>
                </c:pt>
                <c:pt idx="1">
                  <c:v>589.01200000000006</c:v>
                </c:pt>
                <c:pt idx="2">
                  <c:v>650.51799999999992</c:v>
                </c:pt>
                <c:pt idx="3">
                  <c:v>694.88133333333337</c:v>
                </c:pt>
                <c:pt idx="4">
                  <c:v>729.88524999999993</c:v>
                </c:pt>
                <c:pt idx="5">
                  <c:v>773.31741666666676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40-4E2C-BC0D-3CFDF8176FB8}"/>
            </c:ext>
          </c:extLst>
        </c:ser>
        <c:ser>
          <c:idx val="3"/>
          <c:order val="7"/>
          <c:tx>
            <c:strRef>
              <c:f>Combined!$P$4</c:f>
              <c:strCache>
                <c:ptCount val="1"/>
                <c:pt idx="0">
                  <c:v>10000 Cell/well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Combined!$P$12:$P$17</c:f>
                <c:numCache>
                  <c:formatCode>General</c:formatCode>
                  <c:ptCount val="6"/>
                  <c:pt idx="0">
                    <c:v>37.243535736440428</c:v>
                  </c:pt>
                  <c:pt idx="1">
                    <c:v>40.599985302561151</c:v>
                  </c:pt>
                  <c:pt idx="2">
                    <c:v>85.720439020345268</c:v>
                  </c:pt>
                  <c:pt idx="3">
                    <c:v>60.175197760687745</c:v>
                  </c:pt>
                  <c:pt idx="4">
                    <c:v>64.094738655805912</c:v>
                  </c:pt>
                  <c:pt idx="5">
                    <c:v>57.254841343529428</c:v>
                  </c:pt>
                </c:numCache>
              </c:numRef>
            </c:plus>
            <c:minus>
              <c:numRef>
                <c:f>Combined!$P$12:$P$17</c:f>
                <c:numCache>
                  <c:formatCode>General</c:formatCode>
                  <c:ptCount val="6"/>
                  <c:pt idx="0">
                    <c:v>37.243535736440428</c:v>
                  </c:pt>
                  <c:pt idx="1">
                    <c:v>40.599985302561151</c:v>
                  </c:pt>
                  <c:pt idx="2">
                    <c:v>85.720439020345268</c:v>
                  </c:pt>
                  <c:pt idx="3">
                    <c:v>60.175197760687745</c:v>
                  </c:pt>
                  <c:pt idx="4">
                    <c:v>64.094738655805912</c:v>
                  </c:pt>
                  <c:pt idx="5">
                    <c:v>57.254841343529428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errBars>
          <c:cat>
            <c:numRef>
              <c:f>Combined!$L$5:$L$10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Combined!$P$5:$P$10</c:f>
              <c:numCache>
                <c:formatCode>General</c:formatCode>
                <c:ptCount val="6"/>
                <c:pt idx="0">
                  <c:v>666.02616666666677</c:v>
                </c:pt>
                <c:pt idx="1">
                  <c:v>731.70024999999998</c:v>
                </c:pt>
                <c:pt idx="2">
                  <c:v>801.18025</c:v>
                </c:pt>
                <c:pt idx="3">
                  <c:v>816.93458333333319</c:v>
                </c:pt>
                <c:pt idx="4">
                  <c:v>846.78358333333347</c:v>
                </c:pt>
                <c:pt idx="5">
                  <c:v>885.15199999999993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B40-4E2C-BC0D-3CFDF8176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312367"/>
        <c:axId val="865297967"/>
        <c:extLst>
          <c:ext xmlns:c15="http://schemas.microsoft.com/office/drawing/2012/chart" uri="{02D57815-91ED-43cb-92C2-25804820EDAC}">
            <c15:filteredLine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Combined!$M$4</c15:sqref>
                        </c15:formulaRef>
                      </c:ext>
                    </c:extLst>
                    <c:strCache>
                      <c:ptCount val="1"/>
                      <c:pt idx="0">
                        <c:v>500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Combined!$M$12:$M$17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12.821634815160396</c:v>
                        </c:pt>
                        <c:pt idx="1">
                          <c:v>21.047769976708317</c:v>
                        </c:pt>
                        <c:pt idx="2">
                          <c:v>37.85207235139837</c:v>
                        </c:pt>
                        <c:pt idx="3">
                          <c:v>31.400838493316286</c:v>
                        </c:pt>
                        <c:pt idx="4">
                          <c:v>29.055587791361493</c:v>
                        </c:pt>
                        <c:pt idx="5">
                          <c:v>51.879320852836202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Combined!$M$12:$M$17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12.821634815160396</c:v>
                        </c:pt>
                        <c:pt idx="1">
                          <c:v>21.047769976708317</c:v>
                        </c:pt>
                        <c:pt idx="2">
                          <c:v>37.85207235139837</c:v>
                        </c:pt>
                        <c:pt idx="3">
                          <c:v>31.400838493316286</c:v>
                        </c:pt>
                        <c:pt idx="4">
                          <c:v>29.055587791361493</c:v>
                        </c:pt>
                        <c:pt idx="5">
                          <c:v>51.879320852836202</c:v>
                        </c:pt>
                      </c:numCache>
                    </c:numRef>
                  </c:minus>
                </c:errBars>
                <c:cat>
                  <c:numRef>
                    <c:extLst>
                      <c:ext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Combined!$M$5:$M$10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248.57133333333334</c:v>
                      </c:pt>
                      <c:pt idx="1">
                        <c:v>300.54958333333337</c:v>
                      </c:pt>
                      <c:pt idx="2">
                        <c:v>333.06974999999994</c:v>
                      </c:pt>
                      <c:pt idx="3">
                        <c:v>381.97191666666669</c:v>
                      </c:pt>
                      <c:pt idx="4">
                        <c:v>402.05008333333336</c:v>
                      </c:pt>
                      <c:pt idx="5">
                        <c:v>458.95416666666665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4B40-4E2C-BC0D-3CFDF8176FB8}"/>
                  </c:ext>
                </c:extLst>
              </c15:ser>
            </c15:filteredLineSeries>
            <c15:filteredLineSeries>
              <c15:ser>
                <c:idx val="5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Combined!$N$4</c15:sqref>
                        </c15:formulaRef>
                      </c:ext>
                    </c:extLst>
                    <c:strCache>
                      <c:ptCount val="1"/>
                      <c:pt idx="0">
                        <c:v>1000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Combined!$N$12:$N$17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88.359357657844711</c:v>
                        </c:pt>
                        <c:pt idx="1">
                          <c:v>74.653976099427524</c:v>
                        </c:pt>
                        <c:pt idx="2">
                          <c:v>70.313251429150995</c:v>
                        </c:pt>
                        <c:pt idx="3">
                          <c:v>52.968281134374649</c:v>
                        </c:pt>
                        <c:pt idx="4">
                          <c:v>44.633912847670075</c:v>
                        </c:pt>
                        <c:pt idx="5">
                          <c:v>93.235557842368735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Combined!$N$12:$N$17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88.359357657844711</c:v>
                        </c:pt>
                        <c:pt idx="1">
                          <c:v>74.653976099427524</c:v>
                        </c:pt>
                        <c:pt idx="2">
                          <c:v>70.313251429150995</c:v>
                        </c:pt>
                        <c:pt idx="3">
                          <c:v>52.968281134374649</c:v>
                        </c:pt>
                        <c:pt idx="4">
                          <c:v>44.633912847670075</c:v>
                        </c:pt>
                        <c:pt idx="5">
                          <c:v>93.235557842368735</c:v>
                        </c:pt>
                      </c:numCache>
                    </c:numRef>
                  </c:minus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Combined!$N$5:$N$10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397.6825</c:v>
                      </c:pt>
                      <c:pt idx="1">
                        <c:v>423.36942307692306</c:v>
                      </c:pt>
                      <c:pt idx="2">
                        <c:v>440.57759090909093</c:v>
                      </c:pt>
                      <c:pt idx="3">
                        <c:v>473.34072222222221</c:v>
                      </c:pt>
                      <c:pt idx="4">
                        <c:v>489.0043571428572</c:v>
                      </c:pt>
                      <c:pt idx="5">
                        <c:v>574.36920000000009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4B40-4E2C-BC0D-3CFDF8176FB8}"/>
                  </c:ext>
                </c:extLst>
              </c15:ser>
            </c15:filteredLineSeries>
            <c15:filteredLineSeries>
              <c15:ser>
                <c:idx val="6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Combined!$O$4</c15:sqref>
                        </c15:formulaRef>
                      </c:ext>
                    </c:extLst>
                    <c:strCache>
                      <c:ptCount val="1"/>
                      <c:pt idx="0">
                        <c:v>5000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minus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Combined!$O$5:$O$10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529.62275</c:v>
                      </c:pt>
                      <c:pt idx="1">
                        <c:v>589.01200000000006</c:v>
                      </c:pt>
                      <c:pt idx="2">
                        <c:v>650.51799999999992</c:v>
                      </c:pt>
                      <c:pt idx="3">
                        <c:v>694.88133333333337</c:v>
                      </c:pt>
                      <c:pt idx="4">
                        <c:v>729.88524999999993</c:v>
                      </c:pt>
                      <c:pt idx="5">
                        <c:v>773.31741666666676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4B40-4E2C-BC0D-3CFDF8176FB8}"/>
                  </c:ext>
                </c:extLst>
              </c15:ser>
            </c15:filteredLineSeries>
            <c15:filteredLineSeries>
              <c15:ser>
                <c:idx val="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Combined!$P$4</c15:sqref>
                        </c15:formulaRef>
                      </c:ext>
                    </c:extLst>
                    <c:strCache>
                      <c:ptCount val="1"/>
                      <c:pt idx="0">
                        <c:v>10000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minus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Combined!$P$5:$P$10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666.02616666666677</c:v>
                      </c:pt>
                      <c:pt idx="1">
                        <c:v>731.70024999999998</c:v>
                      </c:pt>
                      <c:pt idx="2">
                        <c:v>801.18025</c:v>
                      </c:pt>
                      <c:pt idx="3">
                        <c:v>816.93458333333319</c:v>
                      </c:pt>
                      <c:pt idx="4">
                        <c:v>846.78358333333347</c:v>
                      </c:pt>
                      <c:pt idx="5">
                        <c:v>885.15199999999993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4B40-4E2C-BC0D-3CFDF8176FB8}"/>
                  </c:ext>
                </c:extLst>
              </c15:ser>
            </c15:filteredLineSeries>
          </c:ext>
        </c:extLst>
      </c:lineChart>
      <c:catAx>
        <c:axId val="86531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97967"/>
        <c:crosses val="autoZero"/>
        <c:auto val="1"/>
        <c:lblAlgn val="ctr"/>
        <c:lblOffset val="100"/>
        <c:tickLblSkip val="1"/>
        <c:noMultiLvlLbl val="0"/>
      </c:catAx>
      <c:valAx>
        <c:axId val="865297967"/>
        <c:scaling>
          <c:orientation val="minMax"/>
          <c:max val="10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cell size </a:t>
                </a:r>
                <a:r>
                  <a:rPr lang="en-GB" sz="1000" b="0" i="0" u="none" strike="noStrike" baseline="0">
                    <a:effectLst/>
                  </a:rPr>
                  <a:t>(</a:t>
                </a:r>
                <a:r>
                  <a:rPr lang="el-GR" sz="1000" b="0" i="0" u="none" strike="noStrike" baseline="0">
                    <a:effectLst/>
                  </a:rPr>
                  <a:t>μ</a:t>
                </a:r>
                <a:r>
                  <a:rPr lang="en-GB" sz="1000" b="0" i="0" u="none" strike="noStrike" baseline="0">
                    <a:effectLst/>
                  </a:rPr>
                  <a:t>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23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</a:t>
            </a:r>
            <a:r>
              <a:rPr lang="en-US" baseline="0"/>
              <a:t> of a</a:t>
            </a:r>
            <a:r>
              <a:rPr lang="en-US"/>
              <a:t>verage spheroid</a:t>
            </a:r>
            <a:r>
              <a:rPr lang="en-US" baseline="0"/>
              <a:t> size over seven days at 500 and 1000 cells seeded per well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4"/>
          <c:tx>
            <c:strRef>
              <c:f>Combined!$M$4</c:f>
              <c:strCache>
                <c:ptCount val="1"/>
                <c:pt idx="0">
                  <c:v>500 Cell/well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Combined!$M$12:$M$17</c:f>
                <c:numCache>
                  <c:formatCode>General</c:formatCode>
                  <c:ptCount val="6"/>
                  <c:pt idx="0">
                    <c:v>12.821634815160396</c:v>
                  </c:pt>
                  <c:pt idx="1">
                    <c:v>21.047769976708317</c:v>
                  </c:pt>
                  <c:pt idx="2">
                    <c:v>37.85207235139837</c:v>
                  </c:pt>
                  <c:pt idx="3">
                    <c:v>31.400838493316286</c:v>
                  </c:pt>
                  <c:pt idx="4">
                    <c:v>29.055587791361493</c:v>
                  </c:pt>
                  <c:pt idx="5">
                    <c:v>51.879320852836202</c:v>
                  </c:pt>
                </c:numCache>
              </c:numRef>
            </c:plus>
            <c:minus>
              <c:numRef>
                <c:f>Combined!$M$12:$M$17</c:f>
                <c:numCache>
                  <c:formatCode>General</c:formatCode>
                  <c:ptCount val="6"/>
                  <c:pt idx="0">
                    <c:v>12.821634815160396</c:v>
                  </c:pt>
                  <c:pt idx="1">
                    <c:v>21.047769976708317</c:v>
                  </c:pt>
                  <c:pt idx="2">
                    <c:v>37.85207235139837</c:v>
                  </c:pt>
                  <c:pt idx="3">
                    <c:v>31.400838493316286</c:v>
                  </c:pt>
                  <c:pt idx="4">
                    <c:v>29.055587791361493</c:v>
                  </c:pt>
                  <c:pt idx="5">
                    <c:v>51.879320852836202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cat>
            <c:numRef>
              <c:f>Combined!$L$5:$L$10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Combined!$M$5:$M$10</c:f>
              <c:numCache>
                <c:formatCode>General</c:formatCode>
                <c:ptCount val="6"/>
                <c:pt idx="0">
                  <c:v>248.57133333333334</c:v>
                </c:pt>
                <c:pt idx="1">
                  <c:v>300.54958333333337</c:v>
                </c:pt>
                <c:pt idx="2">
                  <c:v>333.06974999999994</c:v>
                </c:pt>
                <c:pt idx="3">
                  <c:v>381.97191666666669</c:v>
                </c:pt>
                <c:pt idx="4">
                  <c:v>402.05008333333336</c:v>
                </c:pt>
                <c:pt idx="5">
                  <c:v>458.95416666666665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B-4A05-9B68-07C41E146097}"/>
            </c:ext>
          </c:extLst>
        </c:ser>
        <c:ser>
          <c:idx val="1"/>
          <c:order val="5"/>
          <c:tx>
            <c:strRef>
              <c:f>Combined!$N$4</c:f>
              <c:strCache>
                <c:ptCount val="1"/>
                <c:pt idx="0">
                  <c:v>1000 Cell/well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Combined!$N$12:$N$17</c:f>
                <c:numCache>
                  <c:formatCode>General</c:formatCode>
                  <c:ptCount val="6"/>
                  <c:pt idx="0">
                    <c:v>88.359357657844711</c:v>
                  </c:pt>
                  <c:pt idx="1">
                    <c:v>74.653976099427524</c:v>
                  </c:pt>
                  <c:pt idx="2">
                    <c:v>70.313251429150995</c:v>
                  </c:pt>
                  <c:pt idx="3">
                    <c:v>52.968281134374649</c:v>
                  </c:pt>
                  <c:pt idx="4">
                    <c:v>44.633912847670075</c:v>
                  </c:pt>
                  <c:pt idx="5">
                    <c:v>93.235557842368735</c:v>
                  </c:pt>
                </c:numCache>
              </c:numRef>
            </c:plus>
            <c:minus>
              <c:numRef>
                <c:f>Combined!$N$12:$N$17</c:f>
                <c:numCache>
                  <c:formatCode>General</c:formatCode>
                  <c:ptCount val="6"/>
                  <c:pt idx="0">
                    <c:v>88.359357657844711</c:v>
                  </c:pt>
                  <c:pt idx="1">
                    <c:v>74.653976099427524</c:v>
                  </c:pt>
                  <c:pt idx="2">
                    <c:v>70.313251429150995</c:v>
                  </c:pt>
                  <c:pt idx="3">
                    <c:v>52.968281134374649</c:v>
                  </c:pt>
                  <c:pt idx="4">
                    <c:v>44.633912847670075</c:v>
                  </c:pt>
                  <c:pt idx="5">
                    <c:v>93.235557842368735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cat>
            <c:numRef>
              <c:f>Combined!$L$5:$L$10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Combined!$N$5:$N$10</c:f>
              <c:numCache>
                <c:formatCode>General</c:formatCode>
                <c:ptCount val="6"/>
                <c:pt idx="0">
                  <c:v>397.6825</c:v>
                </c:pt>
                <c:pt idx="1">
                  <c:v>423.36942307692306</c:v>
                </c:pt>
                <c:pt idx="2">
                  <c:v>440.57759090909093</c:v>
                </c:pt>
                <c:pt idx="3">
                  <c:v>473.34072222222221</c:v>
                </c:pt>
                <c:pt idx="4">
                  <c:v>489.0043571428572</c:v>
                </c:pt>
                <c:pt idx="5">
                  <c:v>574.36920000000009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4B-4A05-9B68-07C41E146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312367"/>
        <c:axId val="865297967"/>
        <c:extLst>
          <c:ext xmlns:c15="http://schemas.microsoft.com/office/drawing/2012/chart" uri="{02D57815-91ED-43cb-92C2-25804820EDAC}">
            <c15:filteredLine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Combined!$M$4</c15:sqref>
                        </c15:formulaRef>
                      </c:ext>
                    </c:extLst>
                    <c:strCache>
                      <c:ptCount val="1"/>
                      <c:pt idx="0">
                        <c:v>500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Combined!$M$12:$M$17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12.821634815160396</c:v>
                        </c:pt>
                        <c:pt idx="1">
                          <c:v>21.047769976708317</c:v>
                        </c:pt>
                        <c:pt idx="2">
                          <c:v>37.85207235139837</c:v>
                        </c:pt>
                        <c:pt idx="3">
                          <c:v>31.400838493316286</c:v>
                        </c:pt>
                        <c:pt idx="4">
                          <c:v>29.055587791361493</c:v>
                        </c:pt>
                        <c:pt idx="5">
                          <c:v>51.879320852836202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Combined!$M$12:$M$17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12.821634815160396</c:v>
                        </c:pt>
                        <c:pt idx="1">
                          <c:v>21.047769976708317</c:v>
                        </c:pt>
                        <c:pt idx="2">
                          <c:v>37.85207235139837</c:v>
                        </c:pt>
                        <c:pt idx="3">
                          <c:v>31.400838493316286</c:v>
                        </c:pt>
                        <c:pt idx="4">
                          <c:v>29.055587791361493</c:v>
                        </c:pt>
                        <c:pt idx="5">
                          <c:v>51.879320852836202</c:v>
                        </c:pt>
                      </c:numCache>
                    </c:numRef>
                  </c:minus>
                </c:errBars>
                <c:cat>
                  <c:numRef>
                    <c:extLst>
                      <c:ext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Combined!$M$5:$M$10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248.57133333333334</c:v>
                      </c:pt>
                      <c:pt idx="1">
                        <c:v>300.54958333333337</c:v>
                      </c:pt>
                      <c:pt idx="2">
                        <c:v>333.06974999999994</c:v>
                      </c:pt>
                      <c:pt idx="3">
                        <c:v>381.97191666666669</c:v>
                      </c:pt>
                      <c:pt idx="4">
                        <c:v>402.05008333333336</c:v>
                      </c:pt>
                      <c:pt idx="5">
                        <c:v>458.95416666666665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24B-4A05-9B68-07C41E146097}"/>
                  </c:ext>
                </c:extLst>
              </c15:ser>
            </c15:filteredLineSeries>
            <c15:filteredLineSeries>
              <c15:ser>
                <c:idx val="5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Combined!$N$4</c15:sqref>
                        </c15:formulaRef>
                      </c:ext>
                    </c:extLst>
                    <c:strCache>
                      <c:ptCount val="1"/>
                      <c:pt idx="0">
                        <c:v>1000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Combined!$N$12:$N$17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88.359357657844711</c:v>
                        </c:pt>
                        <c:pt idx="1">
                          <c:v>74.653976099427524</c:v>
                        </c:pt>
                        <c:pt idx="2">
                          <c:v>70.313251429150995</c:v>
                        </c:pt>
                        <c:pt idx="3">
                          <c:v>52.968281134374649</c:v>
                        </c:pt>
                        <c:pt idx="4">
                          <c:v>44.633912847670075</c:v>
                        </c:pt>
                        <c:pt idx="5">
                          <c:v>93.235557842368735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Combined!$N$12:$N$17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88.359357657844711</c:v>
                        </c:pt>
                        <c:pt idx="1">
                          <c:v>74.653976099427524</c:v>
                        </c:pt>
                        <c:pt idx="2">
                          <c:v>70.313251429150995</c:v>
                        </c:pt>
                        <c:pt idx="3">
                          <c:v>52.968281134374649</c:v>
                        </c:pt>
                        <c:pt idx="4">
                          <c:v>44.633912847670075</c:v>
                        </c:pt>
                        <c:pt idx="5">
                          <c:v>93.235557842368735</c:v>
                        </c:pt>
                      </c:numCache>
                    </c:numRef>
                  </c:minus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Combined!$N$5:$N$10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397.6825</c:v>
                      </c:pt>
                      <c:pt idx="1">
                        <c:v>423.36942307692306</c:v>
                      </c:pt>
                      <c:pt idx="2">
                        <c:v>440.57759090909093</c:v>
                      </c:pt>
                      <c:pt idx="3">
                        <c:v>473.34072222222221</c:v>
                      </c:pt>
                      <c:pt idx="4">
                        <c:v>489.0043571428572</c:v>
                      </c:pt>
                      <c:pt idx="5">
                        <c:v>574.36920000000009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24B-4A05-9B68-07C41E146097}"/>
                  </c:ext>
                </c:extLst>
              </c15:ser>
            </c15:filteredLineSeries>
            <c15:filteredLineSeries>
              <c15:ser>
                <c:idx val="6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Combined!$O$4</c15:sqref>
                        </c15:formulaRef>
                      </c:ext>
                    </c:extLst>
                    <c:strCache>
                      <c:ptCount val="1"/>
                      <c:pt idx="0">
                        <c:v>5000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minus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Combined!$O$5:$O$10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529.62275</c:v>
                      </c:pt>
                      <c:pt idx="1">
                        <c:v>589.01200000000006</c:v>
                      </c:pt>
                      <c:pt idx="2">
                        <c:v>650.51799999999992</c:v>
                      </c:pt>
                      <c:pt idx="3">
                        <c:v>694.88133333333337</c:v>
                      </c:pt>
                      <c:pt idx="4">
                        <c:v>729.88524999999993</c:v>
                      </c:pt>
                      <c:pt idx="5">
                        <c:v>773.31741666666676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24B-4A05-9B68-07C41E146097}"/>
                  </c:ext>
                </c:extLst>
              </c15:ser>
            </c15:filteredLineSeries>
            <c15:filteredLineSeries>
              <c15:ser>
                <c:idx val="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Combined!$P$4</c15:sqref>
                        </c15:formulaRef>
                      </c:ext>
                    </c:extLst>
                    <c:strCache>
                      <c:ptCount val="1"/>
                      <c:pt idx="0">
                        <c:v>10000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minus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Combined!$P$5:$P$10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666.02616666666677</c:v>
                      </c:pt>
                      <c:pt idx="1">
                        <c:v>731.70024999999998</c:v>
                      </c:pt>
                      <c:pt idx="2">
                        <c:v>801.18025</c:v>
                      </c:pt>
                      <c:pt idx="3">
                        <c:v>816.93458333333319</c:v>
                      </c:pt>
                      <c:pt idx="4">
                        <c:v>846.78358333333347</c:v>
                      </c:pt>
                      <c:pt idx="5">
                        <c:v>885.15199999999993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24B-4A05-9B68-07C41E146097}"/>
                  </c:ext>
                </c:extLst>
              </c15:ser>
            </c15:filteredLineSeries>
            <c15:filteredLine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Combined!$O$4</c15:sqref>
                        </c15:formulaRef>
                      </c:ext>
                    </c:extLst>
                    <c:strCache>
                      <c:ptCount val="1"/>
                      <c:pt idx="0">
                        <c:v>5000 Cell/well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Combined!$O$5:$O$10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529.62275</c:v>
                      </c:pt>
                      <c:pt idx="1">
                        <c:v>589.01200000000006</c:v>
                      </c:pt>
                      <c:pt idx="2">
                        <c:v>650.51799999999992</c:v>
                      </c:pt>
                      <c:pt idx="3">
                        <c:v>694.88133333333337</c:v>
                      </c:pt>
                      <c:pt idx="4">
                        <c:v>729.88524999999993</c:v>
                      </c:pt>
                      <c:pt idx="5">
                        <c:v>773.31741666666676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24B-4A05-9B68-07C41E146097}"/>
                  </c:ext>
                </c:extLst>
              </c15:ser>
            </c15:filteredLineSeries>
            <c15:filteredLineSeries>
              <c15:ser>
                <c:idx val="3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Combined!$P$4</c15:sqref>
                        </c15:formulaRef>
                      </c:ext>
                    </c:extLst>
                    <c:strCache>
                      <c:ptCount val="1"/>
                      <c:pt idx="0">
                        <c:v>10000 Cell/well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Combined!$P$5:$P$10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666.02616666666677</c:v>
                      </c:pt>
                      <c:pt idx="1">
                        <c:v>731.70024999999998</c:v>
                      </c:pt>
                      <c:pt idx="2">
                        <c:v>801.18025</c:v>
                      </c:pt>
                      <c:pt idx="3">
                        <c:v>816.93458333333319</c:v>
                      </c:pt>
                      <c:pt idx="4">
                        <c:v>846.78358333333347</c:v>
                      </c:pt>
                      <c:pt idx="5">
                        <c:v>885.15199999999993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24B-4A05-9B68-07C41E146097}"/>
                  </c:ext>
                </c:extLst>
              </c15:ser>
            </c15:filteredLineSeries>
          </c:ext>
        </c:extLst>
      </c:lineChart>
      <c:catAx>
        <c:axId val="86531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97967"/>
        <c:crosses val="autoZero"/>
        <c:auto val="1"/>
        <c:lblAlgn val="ctr"/>
        <c:lblOffset val="100"/>
        <c:tickLblSkip val="1"/>
        <c:noMultiLvlLbl val="0"/>
      </c:catAx>
      <c:valAx>
        <c:axId val="865297967"/>
        <c:scaling>
          <c:orientation val="minMax"/>
          <c:max val="7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cell size </a:t>
                </a:r>
                <a:r>
                  <a:rPr lang="en-GB" sz="1000" b="0" i="0" u="none" strike="noStrike" baseline="0">
                    <a:effectLst/>
                  </a:rPr>
                  <a:t>(</a:t>
                </a:r>
                <a:r>
                  <a:rPr lang="el-GR" sz="1000" b="0" i="0" u="none" strike="noStrike" baseline="0">
                    <a:effectLst/>
                  </a:rPr>
                  <a:t>μ</a:t>
                </a:r>
                <a:r>
                  <a:rPr lang="en-GB" sz="1000" b="0" i="0" u="none" strike="noStrike" baseline="0">
                    <a:effectLst/>
                  </a:rPr>
                  <a:t>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in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236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spheroid</a:t>
            </a:r>
            <a:r>
              <a:rPr lang="en-US" baseline="0"/>
              <a:t> size over seven days when seeded with 500 cells per well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4"/>
          <c:tx>
            <c:strRef>
              <c:f>Combined!$M$4</c:f>
              <c:strCache>
                <c:ptCount val="1"/>
                <c:pt idx="0">
                  <c:v>500 Cell/well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Combined!$M$12:$M$17</c:f>
                <c:numCache>
                  <c:formatCode>General</c:formatCode>
                  <c:ptCount val="6"/>
                  <c:pt idx="0">
                    <c:v>12.821634815160396</c:v>
                  </c:pt>
                  <c:pt idx="1">
                    <c:v>21.047769976708317</c:v>
                  </c:pt>
                  <c:pt idx="2">
                    <c:v>37.85207235139837</c:v>
                  </c:pt>
                  <c:pt idx="3">
                    <c:v>31.400838493316286</c:v>
                  </c:pt>
                  <c:pt idx="4">
                    <c:v>29.055587791361493</c:v>
                  </c:pt>
                  <c:pt idx="5">
                    <c:v>51.879320852836202</c:v>
                  </c:pt>
                </c:numCache>
              </c:numRef>
            </c:plus>
            <c:minus>
              <c:numRef>
                <c:f>Combined!$M$12:$M$17</c:f>
                <c:numCache>
                  <c:formatCode>General</c:formatCode>
                  <c:ptCount val="6"/>
                  <c:pt idx="0">
                    <c:v>12.821634815160396</c:v>
                  </c:pt>
                  <c:pt idx="1">
                    <c:v>21.047769976708317</c:v>
                  </c:pt>
                  <c:pt idx="2">
                    <c:v>37.85207235139837</c:v>
                  </c:pt>
                  <c:pt idx="3">
                    <c:v>31.400838493316286</c:v>
                  </c:pt>
                  <c:pt idx="4">
                    <c:v>29.055587791361493</c:v>
                  </c:pt>
                  <c:pt idx="5">
                    <c:v>51.879320852836202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4285F4"/>
                </a:solidFill>
                <a:round/>
              </a:ln>
              <a:effectLst/>
            </c:spPr>
          </c:errBars>
          <c:cat>
            <c:numRef>
              <c:f>Combined!$L$5:$L$10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Combined!$M$5:$M$10</c:f>
              <c:numCache>
                <c:formatCode>General</c:formatCode>
                <c:ptCount val="6"/>
                <c:pt idx="0">
                  <c:v>248.57133333333334</c:v>
                </c:pt>
                <c:pt idx="1">
                  <c:v>300.54958333333337</c:v>
                </c:pt>
                <c:pt idx="2">
                  <c:v>333.06974999999994</c:v>
                </c:pt>
                <c:pt idx="3">
                  <c:v>381.97191666666669</c:v>
                </c:pt>
                <c:pt idx="4">
                  <c:v>402.05008333333336</c:v>
                </c:pt>
                <c:pt idx="5">
                  <c:v>458.95416666666665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5-46A7-93CB-7A32BB9CC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312367"/>
        <c:axId val="865297967"/>
        <c:extLst>
          <c:ext xmlns:c15="http://schemas.microsoft.com/office/drawing/2012/chart" uri="{02D57815-91ED-43cb-92C2-25804820EDAC}">
            <c15:filteredLine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Combined!$M$4</c15:sqref>
                        </c15:formulaRef>
                      </c:ext>
                    </c:extLst>
                    <c:strCache>
                      <c:ptCount val="1"/>
                      <c:pt idx="0">
                        <c:v>500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Combined!$M$12:$M$17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12.821634815160396</c:v>
                        </c:pt>
                        <c:pt idx="1">
                          <c:v>21.047769976708317</c:v>
                        </c:pt>
                        <c:pt idx="2">
                          <c:v>37.85207235139837</c:v>
                        </c:pt>
                        <c:pt idx="3">
                          <c:v>31.400838493316286</c:v>
                        </c:pt>
                        <c:pt idx="4">
                          <c:v>29.055587791361493</c:v>
                        </c:pt>
                        <c:pt idx="5">
                          <c:v>51.879320852836202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Combined!$M$12:$M$17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12.821634815160396</c:v>
                        </c:pt>
                        <c:pt idx="1">
                          <c:v>21.047769976708317</c:v>
                        </c:pt>
                        <c:pt idx="2">
                          <c:v>37.85207235139837</c:v>
                        </c:pt>
                        <c:pt idx="3">
                          <c:v>31.400838493316286</c:v>
                        </c:pt>
                        <c:pt idx="4">
                          <c:v>29.055587791361493</c:v>
                        </c:pt>
                        <c:pt idx="5">
                          <c:v>51.879320852836202</c:v>
                        </c:pt>
                      </c:numCache>
                    </c:numRef>
                  </c:minus>
                </c:errBars>
                <c:cat>
                  <c:numRef>
                    <c:extLst>
                      <c:ext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Combined!$M$5:$M$10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248.57133333333334</c:v>
                      </c:pt>
                      <c:pt idx="1">
                        <c:v>300.54958333333337</c:v>
                      </c:pt>
                      <c:pt idx="2">
                        <c:v>333.06974999999994</c:v>
                      </c:pt>
                      <c:pt idx="3">
                        <c:v>381.97191666666669</c:v>
                      </c:pt>
                      <c:pt idx="4">
                        <c:v>402.05008333333336</c:v>
                      </c:pt>
                      <c:pt idx="5">
                        <c:v>458.95416666666665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BF5-46A7-93CB-7A32BB9CC564}"/>
                  </c:ext>
                </c:extLst>
              </c15:ser>
            </c15:filteredLineSeries>
            <c15:filteredLineSeries>
              <c15:ser>
                <c:idx val="5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Combined!$N$4</c15:sqref>
                        </c15:formulaRef>
                      </c:ext>
                    </c:extLst>
                    <c:strCache>
                      <c:ptCount val="1"/>
                      <c:pt idx="0">
                        <c:v>1000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Combined!$N$12:$N$17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88.359357657844711</c:v>
                        </c:pt>
                        <c:pt idx="1">
                          <c:v>74.653976099427524</c:v>
                        </c:pt>
                        <c:pt idx="2">
                          <c:v>70.313251429150995</c:v>
                        </c:pt>
                        <c:pt idx="3">
                          <c:v>52.968281134374649</c:v>
                        </c:pt>
                        <c:pt idx="4">
                          <c:v>44.633912847670075</c:v>
                        </c:pt>
                        <c:pt idx="5">
                          <c:v>93.235557842368735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Combined!$N$12:$N$17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88.359357657844711</c:v>
                        </c:pt>
                        <c:pt idx="1">
                          <c:v>74.653976099427524</c:v>
                        </c:pt>
                        <c:pt idx="2">
                          <c:v>70.313251429150995</c:v>
                        </c:pt>
                        <c:pt idx="3">
                          <c:v>52.968281134374649</c:v>
                        </c:pt>
                        <c:pt idx="4">
                          <c:v>44.633912847670075</c:v>
                        </c:pt>
                        <c:pt idx="5">
                          <c:v>93.235557842368735</c:v>
                        </c:pt>
                      </c:numCache>
                    </c:numRef>
                  </c:minus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Combined!$N$5:$N$10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397.6825</c:v>
                      </c:pt>
                      <c:pt idx="1">
                        <c:v>423.36942307692306</c:v>
                      </c:pt>
                      <c:pt idx="2">
                        <c:v>440.57759090909093</c:v>
                      </c:pt>
                      <c:pt idx="3">
                        <c:v>473.34072222222221</c:v>
                      </c:pt>
                      <c:pt idx="4">
                        <c:v>489.0043571428572</c:v>
                      </c:pt>
                      <c:pt idx="5">
                        <c:v>574.36920000000009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BF5-46A7-93CB-7A32BB9CC564}"/>
                  </c:ext>
                </c:extLst>
              </c15:ser>
            </c15:filteredLineSeries>
            <c15:filteredLineSeries>
              <c15:ser>
                <c:idx val="6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Combined!$O$4</c15:sqref>
                        </c15:formulaRef>
                      </c:ext>
                    </c:extLst>
                    <c:strCache>
                      <c:ptCount val="1"/>
                      <c:pt idx="0">
                        <c:v>5000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minus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Combined!$O$5:$O$10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529.62275</c:v>
                      </c:pt>
                      <c:pt idx="1">
                        <c:v>589.01200000000006</c:v>
                      </c:pt>
                      <c:pt idx="2">
                        <c:v>650.51799999999992</c:v>
                      </c:pt>
                      <c:pt idx="3">
                        <c:v>694.88133333333337</c:v>
                      </c:pt>
                      <c:pt idx="4">
                        <c:v>729.88524999999993</c:v>
                      </c:pt>
                      <c:pt idx="5">
                        <c:v>773.31741666666676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BF5-46A7-93CB-7A32BB9CC564}"/>
                  </c:ext>
                </c:extLst>
              </c15:ser>
            </c15:filteredLineSeries>
            <c15:filteredLineSeries>
              <c15:ser>
                <c:idx val="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Combined!$P$4</c15:sqref>
                        </c15:formulaRef>
                      </c:ext>
                    </c:extLst>
                    <c:strCache>
                      <c:ptCount val="1"/>
                      <c:pt idx="0">
                        <c:v>10000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minus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Combined!$P$5:$P$10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666.02616666666677</c:v>
                      </c:pt>
                      <c:pt idx="1">
                        <c:v>731.70024999999998</c:v>
                      </c:pt>
                      <c:pt idx="2">
                        <c:v>801.18025</c:v>
                      </c:pt>
                      <c:pt idx="3">
                        <c:v>816.93458333333319</c:v>
                      </c:pt>
                      <c:pt idx="4">
                        <c:v>846.78358333333347</c:v>
                      </c:pt>
                      <c:pt idx="5">
                        <c:v>885.15199999999993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BF5-46A7-93CB-7A32BB9CC564}"/>
                  </c:ext>
                </c:extLst>
              </c15:ser>
            </c15:filteredLineSeries>
            <c15:filteredLineSeries>
              <c15:ser>
                <c:idx val="1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Combined!$N$4</c15:sqref>
                        </c15:formulaRef>
                      </c:ext>
                    </c:extLst>
                    <c:strCache>
                      <c:ptCount val="1"/>
                      <c:pt idx="0">
                        <c:v>1000 Cell/well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Combined!$N$12:$N$17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88.359357657844711</c:v>
                        </c:pt>
                        <c:pt idx="1">
                          <c:v>74.653976099427524</c:v>
                        </c:pt>
                        <c:pt idx="2">
                          <c:v>70.313251429150995</c:v>
                        </c:pt>
                        <c:pt idx="3">
                          <c:v>52.968281134374649</c:v>
                        </c:pt>
                        <c:pt idx="4">
                          <c:v>44.633912847670075</c:v>
                        </c:pt>
                        <c:pt idx="5">
                          <c:v>93.235557842368735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Combined!$N$12:$N$17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88.359357657844711</c:v>
                        </c:pt>
                        <c:pt idx="1">
                          <c:v>74.653976099427524</c:v>
                        </c:pt>
                        <c:pt idx="2">
                          <c:v>70.313251429150995</c:v>
                        </c:pt>
                        <c:pt idx="3">
                          <c:v>52.968281134374649</c:v>
                        </c:pt>
                        <c:pt idx="4">
                          <c:v>44.633912847670075</c:v>
                        </c:pt>
                        <c:pt idx="5">
                          <c:v>93.235557842368735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accent2">
                          <a:lumMod val="40000"/>
                          <a:lumOff val="60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Combined!$N$5:$N$10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397.6825</c:v>
                      </c:pt>
                      <c:pt idx="1">
                        <c:v>423.36942307692306</c:v>
                      </c:pt>
                      <c:pt idx="2">
                        <c:v>440.57759090909093</c:v>
                      </c:pt>
                      <c:pt idx="3">
                        <c:v>473.34072222222221</c:v>
                      </c:pt>
                      <c:pt idx="4">
                        <c:v>489.0043571428572</c:v>
                      </c:pt>
                      <c:pt idx="5">
                        <c:v>574.36920000000009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BF5-46A7-93CB-7A32BB9CC564}"/>
                  </c:ext>
                </c:extLst>
              </c15:ser>
            </c15:filteredLineSeries>
            <c15:filteredLine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Combined!$O$4</c15:sqref>
                        </c15:formulaRef>
                      </c:ext>
                    </c:extLst>
                    <c:strCache>
                      <c:ptCount val="1"/>
                      <c:pt idx="0">
                        <c:v>5000 Cell/well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Combined!$O$5:$O$10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529.62275</c:v>
                      </c:pt>
                      <c:pt idx="1">
                        <c:v>589.01200000000006</c:v>
                      </c:pt>
                      <c:pt idx="2">
                        <c:v>650.51799999999992</c:v>
                      </c:pt>
                      <c:pt idx="3">
                        <c:v>694.88133333333337</c:v>
                      </c:pt>
                      <c:pt idx="4">
                        <c:v>729.88524999999993</c:v>
                      </c:pt>
                      <c:pt idx="5">
                        <c:v>773.31741666666676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BF5-46A7-93CB-7A32BB9CC564}"/>
                  </c:ext>
                </c:extLst>
              </c15:ser>
            </c15:filteredLineSeries>
            <c15:filteredLineSeries>
              <c15:ser>
                <c:idx val="3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Combined!$P$4</c15:sqref>
                        </c15:formulaRef>
                      </c:ext>
                    </c:extLst>
                    <c:strCache>
                      <c:ptCount val="1"/>
                      <c:pt idx="0">
                        <c:v>10000 Cell/well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Combined!$P$5:$P$10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666.02616666666677</c:v>
                      </c:pt>
                      <c:pt idx="1">
                        <c:v>731.70024999999998</c:v>
                      </c:pt>
                      <c:pt idx="2">
                        <c:v>801.18025</c:v>
                      </c:pt>
                      <c:pt idx="3">
                        <c:v>816.93458333333319</c:v>
                      </c:pt>
                      <c:pt idx="4">
                        <c:v>846.78358333333347</c:v>
                      </c:pt>
                      <c:pt idx="5">
                        <c:v>885.15199999999993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BF5-46A7-93CB-7A32BB9CC564}"/>
                  </c:ext>
                </c:extLst>
              </c15:ser>
            </c15:filteredLineSeries>
          </c:ext>
        </c:extLst>
      </c:lineChart>
      <c:catAx>
        <c:axId val="86531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97967"/>
        <c:crosses val="autoZero"/>
        <c:auto val="1"/>
        <c:lblAlgn val="ctr"/>
        <c:lblOffset val="100"/>
        <c:tickLblSkip val="1"/>
        <c:noMultiLvlLbl val="0"/>
      </c:catAx>
      <c:valAx>
        <c:axId val="865297967"/>
        <c:scaling>
          <c:orientation val="minMax"/>
          <c:max val="55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cell size </a:t>
                </a:r>
                <a:r>
                  <a:rPr lang="en-GB" sz="1000" b="0" i="0" u="none" strike="noStrike" baseline="0">
                    <a:effectLst/>
                  </a:rPr>
                  <a:t>(</a:t>
                </a:r>
                <a:r>
                  <a:rPr lang="el-GR" sz="1000" b="0" i="0" u="none" strike="noStrike" baseline="0">
                    <a:effectLst/>
                  </a:rPr>
                  <a:t>μ</a:t>
                </a:r>
                <a:r>
                  <a:rPr lang="en-GB" sz="1000" b="0" i="0" u="none" strike="noStrike" baseline="0">
                    <a:effectLst/>
                  </a:rPr>
                  <a:t>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in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236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spheroid</a:t>
            </a:r>
            <a:r>
              <a:rPr lang="en-US" baseline="0"/>
              <a:t> size over seven days when seeded with 1000 cells per well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5"/>
          <c:tx>
            <c:strRef>
              <c:f>Combined!$N$4</c:f>
              <c:strCache>
                <c:ptCount val="1"/>
                <c:pt idx="0">
                  <c:v>1000 Cell/well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Combined!$N$12:$N$17</c:f>
                <c:numCache>
                  <c:formatCode>General</c:formatCode>
                  <c:ptCount val="6"/>
                  <c:pt idx="0">
                    <c:v>88.359357657844711</c:v>
                  </c:pt>
                  <c:pt idx="1">
                    <c:v>74.653976099427524</c:v>
                  </c:pt>
                  <c:pt idx="2">
                    <c:v>70.313251429150995</c:v>
                  </c:pt>
                  <c:pt idx="3">
                    <c:v>52.968281134374649</c:v>
                  </c:pt>
                  <c:pt idx="4">
                    <c:v>44.633912847670075</c:v>
                  </c:pt>
                  <c:pt idx="5">
                    <c:v>93.235557842368735</c:v>
                  </c:pt>
                </c:numCache>
              </c:numRef>
            </c:plus>
            <c:minus>
              <c:numRef>
                <c:f>Combined!$N$12:$N$17</c:f>
                <c:numCache>
                  <c:formatCode>General</c:formatCode>
                  <c:ptCount val="6"/>
                  <c:pt idx="0">
                    <c:v>88.359357657844711</c:v>
                  </c:pt>
                  <c:pt idx="1">
                    <c:v>74.653976099427524</c:v>
                  </c:pt>
                  <c:pt idx="2">
                    <c:v>70.313251429150995</c:v>
                  </c:pt>
                  <c:pt idx="3">
                    <c:v>52.968281134374649</c:v>
                  </c:pt>
                  <c:pt idx="4">
                    <c:v>44.633912847670075</c:v>
                  </c:pt>
                  <c:pt idx="5">
                    <c:v>93.235557842368735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EA4335"/>
                </a:solidFill>
                <a:round/>
              </a:ln>
              <a:effectLst/>
            </c:spPr>
          </c:errBars>
          <c:cat>
            <c:numRef>
              <c:f>Combined!$L$5:$L$10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Combined!$N$5:$N$10</c:f>
              <c:numCache>
                <c:formatCode>General</c:formatCode>
                <c:ptCount val="6"/>
                <c:pt idx="0">
                  <c:v>397.6825</c:v>
                </c:pt>
                <c:pt idx="1">
                  <c:v>423.36942307692306</c:v>
                </c:pt>
                <c:pt idx="2">
                  <c:v>440.57759090909093</c:v>
                </c:pt>
                <c:pt idx="3">
                  <c:v>473.34072222222221</c:v>
                </c:pt>
                <c:pt idx="4">
                  <c:v>489.0043571428572</c:v>
                </c:pt>
                <c:pt idx="5">
                  <c:v>574.36920000000009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AC-483D-900E-33F27C25B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312367"/>
        <c:axId val="865297967"/>
        <c:extLst>
          <c:ext xmlns:c15="http://schemas.microsoft.com/office/drawing/2012/chart" uri="{02D57815-91ED-43cb-92C2-25804820EDAC}">
            <c15:filteredLine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Combined!$M$4</c15:sqref>
                        </c15:formulaRef>
                      </c:ext>
                    </c:extLst>
                    <c:strCache>
                      <c:ptCount val="1"/>
                      <c:pt idx="0">
                        <c:v>500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>
                        <c:ext uri="{02D57815-91ED-43cb-92C2-25804820EDAC}">
                          <c15:formulaRef>
                            <c15:sqref>Combined!$M$12:$M$17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12.821634815160396</c:v>
                        </c:pt>
                        <c:pt idx="1">
                          <c:v>21.047769976708317</c:v>
                        </c:pt>
                        <c:pt idx="2">
                          <c:v>37.85207235139837</c:v>
                        </c:pt>
                        <c:pt idx="3">
                          <c:v>31.400838493316286</c:v>
                        </c:pt>
                        <c:pt idx="4">
                          <c:v>29.055587791361493</c:v>
                        </c:pt>
                        <c:pt idx="5">
                          <c:v>51.879320852836202</c:v>
                        </c:pt>
                      </c:numCache>
                    </c:numRef>
                  </c:plus>
                  <c:minus>
                    <c:numRef>
                      <c:extLst>
                        <c:ext uri="{02D57815-91ED-43cb-92C2-25804820EDAC}">
                          <c15:formulaRef>
                            <c15:sqref>Combined!$M$12:$M$17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12.821634815160396</c:v>
                        </c:pt>
                        <c:pt idx="1">
                          <c:v>21.047769976708317</c:v>
                        </c:pt>
                        <c:pt idx="2">
                          <c:v>37.85207235139837</c:v>
                        </c:pt>
                        <c:pt idx="3">
                          <c:v>31.400838493316286</c:v>
                        </c:pt>
                        <c:pt idx="4">
                          <c:v>29.055587791361493</c:v>
                        </c:pt>
                        <c:pt idx="5">
                          <c:v>51.879320852836202</c:v>
                        </c:pt>
                      </c:numCache>
                    </c:numRef>
                  </c:minus>
                </c:errBars>
                <c:cat>
                  <c:numRef>
                    <c:extLst>
                      <c:ext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Combined!$M$5:$M$10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248.57133333333334</c:v>
                      </c:pt>
                      <c:pt idx="1">
                        <c:v>300.54958333333337</c:v>
                      </c:pt>
                      <c:pt idx="2">
                        <c:v>333.06974999999994</c:v>
                      </c:pt>
                      <c:pt idx="3">
                        <c:v>381.97191666666669</c:v>
                      </c:pt>
                      <c:pt idx="4">
                        <c:v>402.05008333333336</c:v>
                      </c:pt>
                      <c:pt idx="5">
                        <c:v>458.95416666666665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3AC-483D-900E-33F27C25B57C}"/>
                  </c:ext>
                </c:extLst>
              </c15:ser>
            </c15:filteredLineSeries>
            <c15:filteredLineSeries>
              <c15:ser>
                <c:idx val="5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Combined!$N$4</c15:sqref>
                        </c15:formulaRef>
                      </c:ext>
                    </c:extLst>
                    <c:strCache>
                      <c:ptCount val="1"/>
                      <c:pt idx="0">
                        <c:v>1000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Combined!$N$12:$N$17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88.359357657844711</c:v>
                        </c:pt>
                        <c:pt idx="1">
                          <c:v>74.653976099427524</c:v>
                        </c:pt>
                        <c:pt idx="2">
                          <c:v>70.313251429150995</c:v>
                        </c:pt>
                        <c:pt idx="3">
                          <c:v>52.968281134374649</c:v>
                        </c:pt>
                        <c:pt idx="4">
                          <c:v>44.633912847670075</c:v>
                        </c:pt>
                        <c:pt idx="5">
                          <c:v>93.235557842368735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Combined!$N$12:$N$17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88.359357657844711</c:v>
                        </c:pt>
                        <c:pt idx="1">
                          <c:v>74.653976099427524</c:v>
                        </c:pt>
                        <c:pt idx="2">
                          <c:v>70.313251429150995</c:v>
                        </c:pt>
                        <c:pt idx="3">
                          <c:v>52.968281134374649</c:v>
                        </c:pt>
                        <c:pt idx="4">
                          <c:v>44.633912847670075</c:v>
                        </c:pt>
                        <c:pt idx="5">
                          <c:v>93.235557842368735</c:v>
                        </c:pt>
                      </c:numCache>
                    </c:numRef>
                  </c:minus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Combined!$N$5:$N$10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397.6825</c:v>
                      </c:pt>
                      <c:pt idx="1">
                        <c:v>423.36942307692306</c:v>
                      </c:pt>
                      <c:pt idx="2">
                        <c:v>440.57759090909093</c:v>
                      </c:pt>
                      <c:pt idx="3">
                        <c:v>473.34072222222221</c:v>
                      </c:pt>
                      <c:pt idx="4">
                        <c:v>489.0043571428572</c:v>
                      </c:pt>
                      <c:pt idx="5">
                        <c:v>574.36920000000009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3AC-483D-900E-33F27C25B57C}"/>
                  </c:ext>
                </c:extLst>
              </c15:ser>
            </c15:filteredLineSeries>
            <c15:filteredLineSeries>
              <c15:ser>
                <c:idx val="6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Combined!$O$4</c15:sqref>
                        </c15:formulaRef>
                      </c:ext>
                    </c:extLst>
                    <c:strCache>
                      <c:ptCount val="1"/>
                      <c:pt idx="0">
                        <c:v>5000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minus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Combined!$O$5:$O$10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529.62275</c:v>
                      </c:pt>
                      <c:pt idx="1">
                        <c:v>589.01200000000006</c:v>
                      </c:pt>
                      <c:pt idx="2">
                        <c:v>650.51799999999992</c:v>
                      </c:pt>
                      <c:pt idx="3">
                        <c:v>694.88133333333337</c:v>
                      </c:pt>
                      <c:pt idx="4">
                        <c:v>729.88524999999993</c:v>
                      </c:pt>
                      <c:pt idx="5">
                        <c:v>773.31741666666676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3AC-483D-900E-33F27C25B57C}"/>
                  </c:ext>
                </c:extLst>
              </c15:ser>
            </c15:filteredLineSeries>
            <c15:filteredLineSeries>
              <c15:ser>
                <c:idx val="7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Combined!$P$4</c15:sqref>
                        </c15:formulaRef>
                      </c:ext>
                    </c:extLst>
                    <c:strCache>
                      <c:ptCount val="1"/>
                      <c:pt idx="0">
                        <c:v>10000 Cell/well</c:v>
                      </c:pt>
                    </c:strCache>
                  </c:strRef>
                </c:tx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minus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Combined!$P$5:$P$10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666.02616666666677</c:v>
                      </c:pt>
                      <c:pt idx="1">
                        <c:v>731.70024999999998</c:v>
                      </c:pt>
                      <c:pt idx="2">
                        <c:v>801.18025</c:v>
                      </c:pt>
                      <c:pt idx="3">
                        <c:v>816.93458333333319</c:v>
                      </c:pt>
                      <c:pt idx="4">
                        <c:v>846.78358333333347</c:v>
                      </c:pt>
                      <c:pt idx="5">
                        <c:v>885.15199999999993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3AC-483D-900E-33F27C25B57C}"/>
                  </c:ext>
                </c:extLst>
              </c15:ser>
            </c15:filteredLineSeries>
            <c15:filteredLineSeries>
              <c15:ser>
                <c:idx val="0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Combined!$M$4</c15:sqref>
                        </c15:formulaRef>
                      </c:ext>
                    </c:extLst>
                    <c:strCache>
                      <c:ptCount val="1"/>
                      <c:pt idx="0">
                        <c:v>500 Cell/well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Combined!$M$12:$M$17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12.821634815160396</c:v>
                        </c:pt>
                        <c:pt idx="1">
                          <c:v>21.047769976708317</c:v>
                        </c:pt>
                        <c:pt idx="2">
                          <c:v>37.85207235139837</c:v>
                        </c:pt>
                        <c:pt idx="3">
                          <c:v>31.400838493316286</c:v>
                        </c:pt>
                        <c:pt idx="4">
                          <c:v>29.055587791361493</c:v>
                        </c:pt>
                        <c:pt idx="5">
                          <c:v>51.879320852836202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Combined!$M$12:$M$17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12.821634815160396</c:v>
                        </c:pt>
                        <c:pt idx="1">
                          <c:v>21.047769976708317</c:v>
                        </c:pt>
                        <c:pt idx="2">
                          <c:v>37.85207235139837</c:v>
                        </c:pt>
                        <c:pt idx="3">
                          <c:v>31.400838493316286</c:v>
                        </c:pt>
                        <c:pt idx="4">
                          <c:v>29.055587791361493</c:v>
                        </c:pt>
                        <c:pt idx="5">
                          <c:v>51.879320852836202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Combined!$M$5:$M$10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248.57133333333334</c:v>
                      </c:pt>
                      <c:pt idx="1">
                        <c:v>300.54958333333337</c:v>
                      </c:pt>
                      <c:pt idx="2">
                        <c:v>333.06974999999994</c:v>
                      </c:pt>
                      <c:pt idx="3">
                        <c:v>381.97191666666669</c:v>
                      </c:pt>
                      <c:pt idx="4">
                        <c:v>402.05008333333336</c:v>
                      </c:pt>
                      <c:pt idx="5">
                        <c:v>458.95416666666665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3AC-483D-900E-33F27C25B57C}"/>
                  </c:ext>
                </c:extLst>
              </c15:ser>
            </c15:filteredLineSeries>
            <c15:filteredLineSeries>
              <c15:ser>
                <c:idx val="2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Combined!$O$4</c15:sqref>
                        </c15:formulaRef>
                      </c:ext>
                    </c:extLst>
                    <c:strCache>
                      <c:ptCount val="1"/>
                      <c:pt idx="0">
                        <c:v>5000 Cell/well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Combined!$O$12:$O$17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29.87566071730388</c:v>
                        </c:pt>
                        <c:pt idx="1">
                          <c:v>28.648757260053259</c:v>
                        </c:pt>
                        <c:pt idx="2">
                          <c:v>29.767313990043135</c:v>
                        </c:pt>
                        <c:pt idx="3">
                          <c:v>54.733458034590164</c:v>
                        </c:pt>
                        <c:pt idx="4">
                          <c:v>58.521890154842538</c:v>
                        </c:pt>
                        <c:pt idx="5">
                          <c:v>56.431660421269861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Combined!$O$5:$O$10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529.62275</c:v>
                      </c:pt>
                      <c:pt idx="1">
                        <c:v>589.01200000000006</c:v>
                      </c:pt>
                      <c:pt idx="2">
                        <c:v>650.51799999999992</c:v>
                      </c:pt>
                      <c:pt idx="3">
                        <c:v>694.88133333333337</c:v>
                      </c:pt>
                      <c:pt idx="4">
                        <c:v>729.88524999999993</c:v>
                      </c:pt>
                      <c:pt idx="5">
                        <c:v>773.31741666666676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3AC-483D-900E-33F27C25B57C}"/>
                  </c:ext>
                </c:extLst>
              </c15:ser>
            </c15:filteredLineSeries>
            <c15:filteredLineSeries>
              <c15:ser>
                <c:idx val="3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Combined!$P$4</c15:sqref>
                        </c15:formulaRef>
                      </c:ext>
                    </c:extLst>
                    <c:strCache>
                      <c:ptCount val="1"/>
                      <c:pt idx="0">
                        <c:v>10000 Cell/well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errBars>
                  <c:errDir val="y"/>
                  <c:errBarType val="both"/>
                  <c:errValType val="cust"/>
                  <c:noEndCap val="0"/>
                  <c:pl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plus>
                  <c:minus>
                    <c:numRef>
                      <c:extLst xmlns:c15="http://schemas.microsoft.com/office/drawing/2012/chart">
                        <c:ext xmlns:c15="http://schemas.microsoft.com/office/drawing/2012/chart" uri="{02D57815-91ED-43cb-92C2-25804820EDAC}">
                          <c15:formulaRef>
                            <c15:sqref>Combined!$P$12:$P$17</c15:sqref>
                          </c15:formulaRef>
                        </c:ext>
                      </c:extLst>
                      <c:numCache>
                        <c:formatCode>General</c:formatCode>
                        <c:ptCount val="6"/>
                        <c:pt idx="0">
                          <c:v>37.243535736440428</c:v>
                        </c:pt>
                        <c:pt idx="1">
                          <c:v>40.599985302561151</c:v>
                        </c:pt>
                        <c:pt idx="2">
                          <c:v>85.720439020345268</c:v>
                        </c:pt>
                        <c:pt idx="3">
                          <c:v>60.175197760687745</c:v>
                        </c:pt>
                        <c:pt idx="4">
                          <c:v>64.094738655805912</c:v>
                        </c:pt>
                        <c:pt idx="5">
                          <c:v>57.254841343529428</c:v>
                        </c:pt>
                      </c:numCache>
                    </c:numRef>
                  </c:minus>
                  <c:spPr>
                    <a:noFill/>
                    <a:ln w="9525" cap="flat" cmpd="sng" algn="ctr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round/>
                    </a:ln>
                    <a:effectLst/>
                  </c:spPr>
                </c:errBar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Combined!$L$5:$L$10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Combined!$P$5:$P$10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666.02616666666677</c:v>
                      </c:pt>
                      <c:pt idx="1">
                        <c:v>731.70024999999998</c:v>
                      </c:pt>
                      <c:pt idx="2">
                        <c:v>801.18025</c:v>
                      </c:pt>
                      <c:pt idx="3">
                        <c:v>816.93458333333319</c:v>
                      </c:pt>
                      <c:pt idx="4">
                        <c:v>846.78358333333347</c:v>
                      </c:pt>
                      <c:pt idx="5">
                        <c:v>885.15199999999993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3AC-483D-900E-33F27C25B57C}"/>
                  </c:ext>
                </c:extLst>
              </c15:ser>
            </c15:filteredLineSeries>
          </c:ext>
        </c:extLst>
      </c:lineChart>
      <c:catAx>
        <c:axId val="86531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97967"/>
        <c:crosses val="autoZero"/>
        <c:auto val="1"/>
        <c:lblAlgn val="ctr"/>
        <c:lblOffset val="100"/>
        <c:tickLblSkip val="1"/>
        <c:noMultiLvlLbl val="0"/>
      </c:catAx>
      <c:valAx>
        <c:axId val="865297967"/>
        <c:scaling>
          <c:orientation val="minMax"/>
          <c:max val="70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cell size </a:t>
                </a:r>
                <a:r>
                  <a:rPr lang="en-GB" sz="1000" b="0" i="0" u="none" strike="noStrike" baseline="0">
                    <a:effectLst/>
                  </a:rPr>
                  <a:t>(</a:t>
                </a:r>
                <a:r>
                  <a:rPr lang="el-GR" sz="1000" b="0" i="0" u="none" strike="noStrike" baseline="0">
                    <a:effectLst/>
                  </a:rPr>
                  <a:t>μ</a:t>
                </a:r>
                <a:r>
                  <a:rPr lang="en-GB" sz="1000" b="0" i="0" u="none" strike="noStrike" baseline="0">
                    <a:effectLst/>
                  </a:rPr>
                  <a:t>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in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236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spheroid</a:t>
            </a:r>
            <a:r>
              <a:rPr lang="en-US" baseline="0"/>
              <a:t> size over seven days with 500 cell seeded per well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'500 cellswell'!$M$4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'500 cellswell'!$N$5:$N$10</c:f>
                <c:numCache>
                  <c:formatCode>General</c:formatCode>
                  <c:ptCount val="6"/>
                </c:numCache>
              </c:numRef>
            </c:plus>
            <c:minus>
              <c:numRef>
                <c:f>'500 cellswell'!$N$5:$N$10</c:f>
                <c:numCache>
                  <c:formatCode>General</c:formatCode>
                  <c:ptCount val="6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'500 cellswell'!$L$5:$L$10</c:f>
              <c:numCache>
                <c:formatCode>General</c:formatCode>
                <c:ptCount val="6"/>
              </c:numCache>
            </c:numRef>
          </c:cat>
          <c:val>
            <c:numRef>
              <c:f>'500 cellswell'!$M$5:$M$10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3-4488-AEF0-62FE6D251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5312367"/>
        <c:axId val="865297967"/>
      </c:lineChart>
      <c:catAx>
        <c:axId val="86531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297967"/>
        <c:crosses val="autoZero"/>
        <c:auto val="1"/>
        <c:lblAlgn val="ctr"/>
        <c:lblOffset val="100"/>
        <c:tickLblSkip val="1"/>
        <c:noMultiLvlLbl val="0"/>
      </c:catAx>
      <c:valAx>
        <c:axId val="865297967"/>
        <c:scaling>
          <c:orientation val="minMax"/>
          <c:max val="55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cell size </a:t>
                </a:r>
                <a:r>
                  <a:rPr lang="en-GB" sz="1000" b="0" i="0" u="none" strike="noStrike" baseline="0">
                    <a:effectLst/>
                  </a:rPr>
                  <a:t>(</a:t>
                </a:r>
                <a:r>
                  <a:rPr lang="el-GR" sz="1000" b="0" i="0" u="none" strike="noStrike" baseline="0">
                    <a:effectLst/>
                  </a:rPr>
                  <a:t>μ</a:t>
                </a:r>
                <a:r>
                  <a:rPr lang="en-GB" sz="1000" b="0" i="0" u="none" strike="noStrike" baseline="0">
                    <a:effectLst/>
                  </a:rPr>
                  <a:t>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312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204106</xdr:rowOff>
    </xdr:from>
    <xdr:to>
      <xdr:col>6</xdr:col>
      <xdr:colOff>742950</xdr:colOff>
      <xdr:row>36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819150</xdr:colOff>
      <xdr:row>18</xdr:row>
      <xdr:rowOff>201386</xdr:rowOff>
    </xdr:from>
    <xdr:to>
      <xdr:col>13</xdr:col>
      <xdr:colOff>723900</xdr:colOff>
      <xdr:row>36</xdr:row>
      <xdr:rowOff>6804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843642</xdr:colOff>
      <xdr:row>19</xdr:row>
      <xdr:rowOff>13607</xdr:rowOff>
    </xdr:from>
    <xdr:to>
      <xdr:col>20</xdr:col>
      <xdr:colOff>748392</xdr:colOff>
      <xdr:row>36</xdr:row>
      <xdr:rowOff>23132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802822</xdr:colOff>
      <xdr:row>19</xdr:row>
      <xdr:rowOff>13607</xdr:rowOff>
    </xdr:from>
    <xdr:to>
      <xdr:col>27</xdr:col>
      <xdr:colOff>707572</xdr:colOff>
      <xdr:row>36</xdr:row>
      <xdr:rowOff>23132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114300</xdr:colOff>
      <xdr:row>52</xdr:row>
      <xdr:rowOff>9524</xdr:rowOff>
    </xdr:from>
    <xdr:to>
      <xdr:col>15</xdr:col>
      <xdr:colOff>19050</xdr:colOff>
      <xdr:row>69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A85E6B-66C9-48F2-B843-AC449D000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285F4"/>
    </a:accent1>
    <a:accent2>
      <a:srgbClr val="EA4335"/>
    </a:accent2>
    <a:accent3>
      <a:srgbClr val="FBBC04"/>
    </a:accent3>
    <a:accent4>
      <a:srgbClr val="34A853"/>
    </a:accent4>
    <a:accent5>
      <a:srgbClr val="FF6D01"/>
    </a:accent5>
    <a:accent6>
      <a:srgbClr val="46BDC6"/>
    </a:accent6>
    <a:hlink>
      <a:srgbClr val="1155CC"/>
    </a:hlink>
    <a:folHlink>
      <a:srgbClr val="1155CC"/>
    </a:folHlink>
  </a:clrScheme>
  <a:fontScheme name="Sheets">
    <a:majorFont>
      <a:latin typeface="Arial"/>
      <a:ea typeface="Arial"/>
      <a:cs typeface="Arial"/>
    </a:majorFont>
    <a:minorFont>
      <a:latin typeface="Arial"/>
      <a:ea typeface="Arial"/>
      <a:cs typeface="Arial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6"/>
  <sheetViews>
    <sheetView workbookViewId="0">
      <selection activeCell="H1" sqref="C1:H1"/>
    </sheetView>
  </sheetViews>
  <sheetFormatPr defaultColWidth="12.5703125" defaultRowHeight="15.75" customHeight="1"/>
  <cols>
    <col min="2" max="2" width="12.5703125" hidden="1"/>
  </cols>
  <sheetData>
    <row r="1" spans="1:22" ht="13.5" thickBot="1">
      <c r="A1" s="1" t="s">
        <v>0</v>
      </c>
      <c r="B1" s="2" t="s">
        <v>1</v>
      </c>
      <c r="C1" s="3" t="s">
        <v>25</v>
      </c>
      <c r="D1" s="3" t="s">
        <v>26</v>
      </c>
      <c r="E1" s="4" t="s">
        <v>27</v>
      </c>
      <c r="F1" s="4" t="s">
        <v>28</v>
      </c>
      <c r="G1" s="3" t="s">
        <v>29</v>
      </c>
      <c r="H1" s="5" t="s">
        <v>30</v>
      </c>
      <c r="I1" s="6"/>
    </row>
    <row r="2" spans="1:22" ht="14.25">
      <c r="A2" s="7" t="s">
        <v>9</v>
      </c>
      <c r="C2" s="19">
        <v>227.64400000000001</v>
      </c>
      <c r="D2" s="20">
        <v>297.19099999999997</v>
      </c>
      <c r="E2" s="21">
        <v>317.19799999999998</v>
      </c>
      <c r="F2" s="20">
        <v>350.67599999999999</v>
      </c>
      <c r="G2" s="21">
        <v>380.59</v>
      </c>
      <c r="H2" s="22">
        <v>440.67399999999998</v>
      </c>
    </row>
    <row r="3" spans="1:22" ht="14.25">
      <c r="A3" s="8" t="s">
        <v>10</v>
      </c>
      <c r="C3" s="23">
        <v>236.89400000000001</v>
      </c>
      <c r="D3" s="15">
        <v>263.32600000000002</v>
      </c>
      <c r="E3" s="16">
        <v>338.02100000000002</v>
      </c>
      <c r="F3" s="15">
        <v>354.91399999999999</v>
      </c>
      <c r="G3" s="16">
        <v>375.01</v>
      </c>
      <c r="H3" s="24">
        <v>448.16899999999998</v>
      </c>
    </row>
    <row r="4" spans="1:22" ht="14.25">
      <c r="A4" s="8" t="s">
        <v>11</v>
      </c>
      <c r="C4" s="23">
        <v>246.61</v>
      </c>
      <c r="D4" s="15">
        <v>335.13900000000001</v>
      </c>
      <c r="E4" s="16">
        <v>334.33100000000002</v>
      </c>
      <c r="F4" s="15">
        <v>367.83300000000003</v>
      </c>
      <c r="G4" s="16">
        <v>398.21499999999997</v>
      </c>
      <c r="H4" s="24">
        <v>600.18600000000004</v>
      </c>
      <c r="L4" s="6"/>
      <c r="M4" s="6"/>
      <c r="N4" s="6"/>
      <c r="P4" s="6"/>
      <c r="Q4" s="6"/>
      <c r="R4" s="6"/>
      <c r="S4" s="6"/>
      <c r="T4" s="6"/>
      <c r="U4" s="6"/>
      <c r="V4" s="6"/>
    </row>
    <row r="5" spans="1:22" ht="15">
      <c r="A5" s="8" t="s">
        <v>15</v>
      </c>
      <c r="C5" s="25">
        <v>252.53200000000001</v>
      </c>
      <c r="D5" s="17">
        <v>305.69499999999999</v>
      </c>
      <c r="E5" s="18">
        <v>416.41699999999997</v>
      </c>
      <c r="F5" s="18">
        <v>429.08600000000001</v>
      </c>
      <c r="G5" s="18">
        <v>378.63499999999999</v>
      </c>
      <c r="H5" s="26">
        <v>446.01799999999997</v>
      </c>
      <c r="L5" s="6"/>
      <c r="P5" s="6"/>
      <c r="Q5" s="6"/>
      <c r="R5" s="6"/>
      <c r="S5" s="6"/>
      <c r="T5" s="6"/>
      <c r="U5" s="6"/>
      <c r="V5" s="6"/>
    </row>
    <row r="6" spans="1:22" ht="14.25">
      <c r="A6" s="8" t="s">
        <v>16</v>
      </c>
      <c r="C6" s="23">
        <v>237.73099999999999</v>
      </c>
      <c r="D6" s="15">
        <v>268.88099999999997</v>
      </c>
      <c r="E6" s="16">
        <v>329.61900000000003</v>
      </c>
      <c r="F6" s="15">
        <v>403.24200000000002</v>
      </c>
      <c r="G6" s="16">
        <v>421.55099999999999</v>
      </c>
      <c r="H6" s="24">
        <v>482.75</v>
      </c>
      <c r="L6" s="6"/>
      <c r="P6" s="6"/>
      <c r="Q6" s="6"/>
      <c r="R6" s="6"/>
      <c r="S6" s="6"/>
      <c r="T6" s="6"/>
      <c r="U6" s="6"/>
      <c r="V6" s="6"/>
    </row>
    <row r="7" spans="1:22" ht="14.25">
      <c r="A7" s="8" t="s">
        <v>17</v>
      </c>
      <c r="C7" s="23">
        <v>251.17099999999999</v>
      </c>
      <c r="D7" s="15">
        <v>300.48899999999998</v>
      </c>
      <c r="E7" s="16">
        <v>386.92099999999999</v>
      </c>
      <c r="F7" s="15">
        <v>437.09</v>
      </c>
      <c r="G7" s="16">
        <v>453.56200000000001</v>
      </c>
      <c r="H7" s="24">
        <v>480.29500000000002</v>
      </c>
      <c r="L7" s="6"/>
    </row>
    <row r="8" spans="1:22" ht="14.25">
      <c r="A8" s="8" t="s">
        <v>18</v>
      </c>
      <c r="C8" s="23">
        <v>250.80799999999999</v>
      </c>
      <c r="D8" s="15">
        <v>301.94499999999999</v>
      </c>
      <c r="E8" s="16">
        <v>313.81700000000001</v>
      </c>
      <c r="F8" s="15">
        <v>367.61700000000002</v>
      </c>
      <c r="G8" s="16">
        <v>378.41</v>
      </c>
      <c r="H8" s="24">
        <v>408.06299999999999</v>
      </c>
      <c r="L8" s="6"/>
    </row>
    <row r="9" spans="1:22" ht="14.25">
      <c r="A9" s="8" t="s">
        <v>19</v>
      </c>
      <c r="C9" s="23">
        <v>240.16499999999999</v>
      </c>
      <c r="D9" s="15">
        <v>288.89100000000002</v>
      </c>
      <c r="E9" s="16">
        <v>306.29399999999998</v>
      </c>
      <c r="F9" s="15">
        <v>377.83600000000001</v>
      </c>
      <c r="G9" s="16">
        <v>394.74900000000002</v>
      </c>
      <c r="H9" s="24">
        <v>483.56200000000001</v>
      </c>
      <c r="L9" s="6"/>
    </row>
    <row r="10" spans="1:22" ht="14.25">
      <c r="A10" s="8" t="s">
        <v>20</v>
      </c>
      <c r="C10" s="23">
        <v>248.54300000000001</v>
      </c>
      <c r="D10" s="15">
        <v>327.38099999999997</v>
      </c>
      <c r="E10" s="16">
        <v>275.46800000000002</v>
      </c>
      <c r="F10" s="15">
        <v>355.29899999999998</v>
      </c>
      <c r="G10" s="16">
        <v>376.67899999999997</v>
      </c>
      <c r="H10" s="24">
        <v>447.02499999999998</v>
      </c>
      <c r="L10" s="6"/>
    </row>
    <row r="11" spans="1:22" ht="14.25">
      <c r="A11" s="8" t="s">
        <v>21</v>
      </c>
      <c r="C11" s="23">
        <v>278.56099999999998</v>
      </c>
      <c r="D11" s="15">
        <v>316.084</v>
      </c>
      <c r="E11" s="16">
        <v>313.36599999999999</v>
      </c>
      <c r="F11" s="15">
        <v>351.73599999999999</v>
      </c>
      <c r="G11" s="16">
        <v>395.476</v>
      </c>
      <c r="H11" s="24">
        <v>405.03399999999999</v>
      </c>
    </row>
    <row r="12" spans="1:22" ht="14.25">
      <c r="A12" s="8" t="s">
        <v>22</v>
      </c>
      <c r="C12" s="23">
        <v>257.06099999999998</v>
      </c>
      <c r="D12" s="15">
        <v>292.09199999999998</v>
      </c>
      <c r="E12" s="16">
        <v>353.06200000000001</v>
      </c>
      <c r="F12" s="15">
        <v>417.38600000000002</v>
      </c>
      <c r="G12" s="16">
        <v>457.22199999999998</v>
      </c>
      <c r="H12" s="24">
        <v>418.505</v>
      </c>
    </row>
    <row r="13" spans="1:22" ht="15" thickBot="1">
      <c r="A13" s="9" t="s">
        <v>23</v>
      </c>
      <c r="C13" s="27">
        <v>255.136</v>
      </c>
      <c r="D13" s="28">
        <v>309.48099999999999</v>
      </c>
      <c r="E13" s="29">
        <v>312.32299999999998</v>
      </c>
      <c r="F13" s="28">
        <v>370.94799999999998</v>
      </c>
      <c r="G13" s="29">
        <v>414.50200000000001</v>
      </c>
      <c r="H13" s="30">
        <v>447.16899999999998</v>
      </c>
    </row>
    <row r="14" spans="1:22" ht="12.75">
      <c r="C14" s="12"/>
      <c r="D14" s="12"/>
      <c r="E14" s="13"/>
      <c r="F14" s="13"/>
      <c r="G14" s="12"/>
      <c r="H14" s="14"/>
    </row>
    <row r="15" spans="1:22" ht="12.75">
      <c r="A15" s="6"/>
      <c r="B15" s="6"/>
      <c r="C15" s="6"/>
      <c r="D15" s="6"/>
      <c r="E15" s="6"/>
      <c r="F15" s="6"/>
      <c r="G15" s="6"/>
      <c r="H15" s="6"/>
    </row>
    <row r="16" spans="1:22" ht="12.75">
      <c r="A16" s="6"/>
      <c r="B16" s="6"/>
      <c r="C16" s="6"/>
      <c r="D16" s="6"/>
      <c r="E16" s="6"/>
      <c r="F16" s="6"/>
      <c r="G16" s="6"/>
      <c r="H1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8"/>
  <sheetViews>
    <sheetView workbookViewId="0">
      <selection activeCell="C1" sqref="C1:H1"/>
    </sheetView>
  </sheetViews>
  <sheetFormatPr defaultColWidth="12.5703125" defaultRowHeight="15.75" customHeight="1"/>
  <cols>
    <col min="2" max="2" width="12.5703125" hidden="1"/>
  </cols>
  <sheetData>
    <row r="1" spans="1:12" ht="13.5" thickBot="1">
      <c r="A1" s="1" t="s">
        <v>0</v>
      </c>
      <c r="B1" s="2" t="s">
        <v>1</v>
      </c>
      <c r="C1" s="3" t="s">
        <v>25</v>
      </c>
      <c r="D1" s="3" t="s">
        <v>26</v>
      </c>
      <c r="E1" s="4" t="s">
        <v>27</v>
      </c>
      <c r="F1" s="4" t="s">
        <v>28</v>
      </c>
      <c r="G1" s="3" t="s">
        <v>29</v>
      </c>
      <c r="H1" s="5" t="s">
        <v>30</v>
      </c>
    </row>
    <row r="2" spans="1:12" ht="15">
      <c r="A2" s="7" t="s">
        <v>31</v>
      </c>
      <c r="C2" s="33">
        <v>329.97699999999998</v>
      </c>
      <c r="D2" s="34">
        <v>343.87200000000001</v>
      </c>
      <c r="E2" s="34">
        <v>369.92399999999998</v>
      </c>
      <c r="F2" s="34">
        <v>411.32600000000002</v>
      </c>
      <c r="G2" s="35">
        <v>440.48200000000003</v>
      </c>
      <c r="H2" s="36">
        <v>561.68100000000004</v>
      </c>
    </row>
    <row r="3" spans="1:12" ht="15">
      <c r="A3" s="8" t="s">
        <v>32</v>
      </c>
      <c r="C3" s="37">
        <v>293.596</v>
      </c>
      <c r="D3" s="31">
        <v>339.73500000000001</v>
      </c>
      <c r="E3" s="31">
        <v>384.06700000000001</v>
      </c>
      <c r="F3" s="31">
        <v>454.19900000000001</v>
      </c>
      <c r="G3" s="32">
        <v>466.73099999999999</v>
      </c>
      <c r="H3" s="38">
        <v>503.20699999999999</v>
      </c>
    </row>
    <row r="4" spans="1:12" ht="15.75" customHeight="1">
      <c r="A4" s="10" t="s">
        <v>33</v>
      </c>
      <c r="C4" s="39" t="s">
        <v>74</v>
      </c>
      <c r="D4" s="39" t="s">
        <v>74</v>
      </c>
      <c r="E4" s="39" t="s">
        <v>74</v>
      </c>
      <c r="F4" s="39" t="s">
        <v>74</v>
      </c>
      <c r="G4" s="39" t="s">
        <v>74</v>
      </c>
      <c r="H4" s="39" t="s">
        <v>74</v>
      </c>
      <c r="I4" s="6"/>
    </row>
    <row r="5" spans="1:12" ht="15">
      <c r="A5" s="8" t="s">
        <v>35</v>
      </c>
      <c r="C5" s="37">
        <v>311.58800000000002</v>
      </c>
      <c r="D5" s="31">
        <v>368.88099999999997</v>
      </c>
      <c r="E5" s="31">
        <v>403.64100000000002</v>
      </c>
      <c r="F5" s="31">
        <v>501.83800000000002</v>
      </c>
      <c r="G5" s="32">
        <v>469.93200000000002</v>
      </c>
      <c r="H5" s="38">
        <v>820.05600000000004</v>
      </c>
    </row>
    <row r="6" spans="1:12" ht="15">
      <c r="A6" s="7" t="s">
        <v>36</v>
      </c>
      <c r="C6" s="37">
        <v>304.31900000000002</v>
      </c>
      <c r="D6" s="31">
        <v>352.49799999999999</v>
      </c>
      <c r="E6" s="31">
        <v>332.11200000000002</v>
      </c>
      <c r="F6" s="31">
        <v>459.77</v>
      </c>
      <c r="G6" s="32">
        <v>505.738</v>
      </c>
      <c r="H6" s="38">
        <v>560.57000000000005</v>
      </c>
    </row>
    <row r="7" spans="1:12" ht="15">
      <c r="A7" s="8" t="s">
        <v>37</v>
      </c>
      <c r="C7" s="37">
        <v>359.63900000000001</v>
      </c>
      <c r="D7" s="31">
        <v>403.48500000000001</v>
      </c>
      <c r="E7" s="31">
        <v>423.02300000000002</v>
      </c>
      <c r="F7" s="31">
        <v>404.86500000000001</v>
      </c>
      <c r="G7" s="32">
        <v>452.005</v>
      </c>
      <c r="H7" s="38">
        <v>537.971</v>
      </c>
    </row>
    <row r="8" spans="1:12" ht="15">
      <c r="A8" s="7" t="s">
        <v>38</v>
      </c>
      <c r="C8" s="37">
        <v>315.97199999999998</v>
      </c>
      <c r="D8" s="31">
        <v>377.37200000000001</v>
      </c>
      <c r="E8" s="31">
        <v>345.41699999999997</v>
      </c>
      <c r="F8" s="31">
        <v>391.10399999999998</v>
      </c>
      <c r="G8" s="32">
        <v>439.39600000000002</v>
      </c>
      <c r="H8" s="38">
        <v>598.255</v>
      </c>
      <c r="L8" s="6"/>
    </row>
    <row r="9" spans="1:12" ht="15.75" customHeight="1">
      <c r="A9" s="11" t="s">
        <v>39</v>
      </c>
      <c r="C9" s="39" t="s">
        <v>74</v>
      </c>
      <c r="D9" s="39" t="s">
        <v>74</v>
      </c>
      <c r="E9" s="39" t="s">
        <v>74</v>
      </c>
      <c r="F9" s="39" t="s">
        <v>74</v>
      </c>
      <c r="G9" s="39" t="s">
        <v>74</v>
      </c>
      <c r="H9" s="39" t="s">
        <v>74</v>
      </c>
      <c r="I9" s="6"/>
      <c r="L9" s="6"/>
    </row>
    <row r="10" spans="1:12" ht="15">
      <c r="A10" s="7" t="s">
        <v>40</v>
      </c>
      <c r="C10" s="37">
        <v>285.90899999999999</v>
      </c>
      <c r="D10" s="31">
        <v>324.11500000000001</v>
      </c>
      <c r="E10" s="31">
        <v>374.32799999999997</v>
      </c>
      <c r="F10" s="31">
        <v>511.53800000000001</v>
      </c>
      <c r="G10" s="32">
        <v>493.03899999999999</v>
      </c>
      <c r="H10" s="38">
        <v>559.36400000000003</v>
      </c>
      <c r="L10" s="6"/>
    </row>
    <row r="11" spans="1:12" ht="15">
      <c r="A11" s="8" t="s">
        <v>41</v>
      </c>
      <c r="C11" s="37">
        <v>306.45999999999998</v>
      </c>
      <c r="D11" s="31">
        <v>362.02100000000002</v>
      </c>
      <c r="E11" s="31">
        <v>422.01900000000001</v>
      </c>
      <c r="F11" s="31">
        <v>450.45499999999998</v>
      </c>
      <c r="G11" s="32">
        <v>499.72899999999998</v>
      </c>
      <c r="H11" s="38">
        <v>508.12900000000002</v>
      </c>
      <c r="L11" s="6"/>
    </row>
    <row r="12" spans="1:12" ht="15">
      <c r="A12" s="7" t="s">
        <v>42</v>
      </c>
      <c r="C12" s="37">
        <v>291.31200000000001</v>
      </c>
      <c r="D12" s="31">
        <v>341.88499999999999</v>
      </c>
      <c r="E12" s="31">
        <v>355.11399999999998</v>
      </c>
      <c r="F12" s="31">
        <v>435.63200000000001</v>
      </c>
      <c r="G12" s="32">
        <v>460.96</v>
      </c>
      <c r="H12" s="38">
        <v>594.54200000000003</v>
      </c>
      <c r="L12" s="6"/>
    </row>
    <row r="13" spans="1:12" thickBot="1">
      <c r="A13" s="8" t="s">
        <v>43</v>
      </c>
      <c r="C13" s="40">
        <v>309.94099999999997</v>
      </c>
      <c r="D13" s="41">
        <v>359.21800000000002</v>
      </c>
      <c r="E13" s="41">
        <v>386.03100000000001</v>
      </c>
      <c r="F13" s="41">
        <v>427.62900000000002</v>
      </c>
      <c r="G13" s="42">
        <v>456.09699999999998</v>
      </c>
      <c r="H13" s="43">
        <v>499.91699999999997</v>
      </c>
      <c r="L13" s="6"/>
    </row>
    <row r="14" spans="1:12" ht="15.75" customHeight="1">
      <c r="L14" s="6"/>
    </row>
    <row r="15" spans="1:12" ht="12.75">
      <c r="A15" s="6"/>
      <c r="B15" s="6"/>
      <c r="C15" s="6"/>
      <c r="D15" s="6"/>
      <c r="E15" s="6"/>
      <c r="F15" s="6"/>
      <c r="G15" s="6"/>
      <c r="H15" s="6"/>
    </row>
    <row r="16" spans="1:12" ht="12.75">
      <c r="A16" s="6"/>
      <c r="B16" s="6"/>
      <c r="C16" s="6"/>
      <c r="D16" s="6"/>
      <c r="E16" s="6"/>
      <c r="F16" s="6"/>
      <c r="G16" s="6"/>
      <c r="H16" s="6"/>
    </row>
    <row r="18" spans="1:1" ht="12.75">
      <c r="A18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6"/>
  <sheetViews>
    <sheetView tabSelected="1" workbookViewId="0">
      <selection activeCell="B16" sqref="B16"/>
    </sheetView>
  </sheetViews>
  <sheetFormatPr defaultColWidth="12.5703125" defaultRowHeight="15.75" customHeight="1"/>
  <cols>
    <col min="2" max="2" width="12.5703125" customWidth="1"/>
  </cols>
  <sheetData>
    <row r="1" spans="1:8" ht="13.5" thickBot="1">
      <c r="A1" s="1" t="s">
        <v>0</v>
      </c>
      <c r="B1" s="2" t="s">
        <v>1</v>
      </c>
      <c r="C1" s="3" t="s">
        <v>25</v>
      </c>
      <c r="D1" s="3" t="s">
        <v>26</v>
      </c>
      <c r="E1" s="4" t="s">
        <v>27</v>
      </c>
      <c r="F1" s="4" t="s">
        <v>28</v>
      </c>
      <c r="G1" s="3" t="s">
        <v>29</v>
      </c>
      <c r="H1" s="5" t="s">
        <v>30</v>
      </c>
    </row>
    <row r="2" spans="1:8" ht="15">
      <c r="A2" s="7" t="s">
        <v>47</v>
      </c>
      <c r="C2" s="33">
        <v>528.88499999999999</v>
      </c>
      <c r="D2" s="44">
        <v>592.50199999999995</v>
      </c>
      <c r="E2" s="35">
        <v>621.44600000000003</v>
      </c>
      <c r="F2" s="35">
        <v>636.43399999999997</v>
      </c>
      <c r="G2" s="35">
        <v>790.77300000000002</v>
      </c>
      <c r="H2" s="36">
        <v>817.32600000000002</v>
      </c>
    </row>
    <row r="3" spans="1:8" ht="15">
      <c r="A3" s="8" t="s">
        <v>48</v>
      </c>
      <c r="C3" s="37">
        <v>535.45600000000002</v>
      </c>
      <c r="D3" s="18">
        <v>610.35299999999995</v>
      </c>
      <c r="E3" s="32">
        <v>613.51099999999997</v>
      </c>
      <c r="F3" s="32">
        <v>660.98599999999999</v>
      </c>
      <c r="G3" s="32">
        <v>703.31399999999996</v>
      </c>
      <c r="H3" s="38">
        <v>753.81299999999999</v>
      </c>
    </row>
    <row r="4" spans="1:8" ht="15">
      <c r="A4" s="7" t="s">
        <v>49</v>
      </c>
      <c r="C4" s="37">
        <v>552.64800000000002</v>
      </c>
      <c r="D4" s="18">
        <v>571.81899999999996</v>
      </c>
      <c r="E4" s="32">
        <v>692.07799999999997</v>
      </c>
      <c r="F4" s="32">
        <v>792.56899999999996</v>
      </c>
      <c r="G4" s="32">
        <v>851.495</v>
      </c>
      <c r="H4" s="38">
        <v>782.726</v>
      </c>
    </row>
    <row r="5" spans="1:8" ht="15">
      <c r="A5" s="8" t="s">
        <v>50</v>
      </c>
      <c r="C5" s="37">
        <v>531.09299999999996</v>
      </c>
      <c r="D5" s="18">
        <v>556.94600000000003</v>
      </c>
      <c r="E5" s="32">
        <v>678.64</v>
      </c>
      <c r="F5" s="32">
        <v>788.21100000000001</v>
      </c>
      <c r="G5" s="32">
        <v>787.41300000000001</v>
      </c>
      <c r="H5" s="38">
        <v>746.322</v>
      </c>
    </row>
    <row r="6" spans="1:8" ht="15">
      <c r="A6" s="7" t="s">
        <v>51</v>
      </c>
      <c r="C6" s="37">
        <v>537.851</v>
      </c>
      <c r="D6" s="18">
        <v>631.29999999999995</v>
      </c>
      <c r="E6" s="32">
        <v>694.45</v>
      </c>
      <c r="F6" s="32">
        <v>719.26</v>
      </c>
      <c r="G6" s="32">
        <v>694.54600000000005</v>
      </c>
      <c r="H6" s="38">
        <v>832.32100000000003</v>
      </c>
    </row>
    <row r="7" spans="1:8" ht="15">
      <c r="A7" s="8" t="s">
        <v>52</v>
      </c>
      <c r="C7" s="37">
        <v>597.58600000000001</v>
      </c>
      <c r="D7" s="18">
        <v>626.21699999999998</v>
      </c>
      <c r="E7" s="32">
        <v>679.93499999999995</v>
      </c>
      <c r="F7" s="32">
        <v>668.96600000000001</v>
      </c>
      <c r="G7" s="32">
        <v>749.81799999999998</v>
      </c>
      <c r="H7" s="38">
        <v>856.60199999999998</v>
      </c>
    </row>
    <row r="8" spans="1:8" ht="15">
      <c r="A8" s="7" t="s">
        <v>53</v>
      </c>
      <c r="C8" s="37">
        <v>544.19399999999996</v>
      </c>
      <c r="D8" s="18">
        <v>555.27099999999996</v>
      </c>
      <c r="E8" s="32">
        <v>661.43100000000004</v>
      </c>
      <c r="F8" s="32">
        <v>712.71199999999999</v>
      </c>
      <c r="G8" s="32">
        <v>686.23699999999997</v>
      </c>
      <c r="H8" s="38">
        <v>822.70699999999999</v>
      </c>
    </row>
    <row r="9" spans="1:8" ht="15">
      <c r="A9" s="8" t="s">
        <v>54</v>
      </c>
      <c r="C9" s="37">
        <v>537.28599999999994</v>
      </c>
      <c r="D9" s="18">
        <v>601.26400000000001</v>
      </c>
      <c r="E9" s="32">
        <v>635.32000000000005</v>
      </c>
      <c r="F9" s="32">
        <v>667.43499999999995</v>
      </c>
      <c r="G9" s="32">
        <v>713.47799999999995</v>
      </c>
      <c r="H9" s="38">
        <v>761.86099999999999</v>
      </c>
    </row>
    <row r="10" spans="1:8" ht="15">
      <c r="A10" s="7" t="s">
        <v>55</v>
      </c>
      <c r="C10" s="37">
        <v>506.35300000000001</v>
      </c>
      <c r="D10" s="18">
        <v>564.51400000000001</v>
      </c>
      <c r="E10" s="32">
        <v>619.31200000000001</v>
      </c>
      <c r="F10" s="32">
        <v>642.13099999999997</v>
      </c>
      <c r="G10" s="32">
        <v>730.40499999999997</v>
      </c>
      <c r="H10" s="38">
        <v>803.476</v>
      </c>
    </row>
    <row r="11" spans="1:8" ht="15">
      <c r="A11" s="8" t="s">
        <v>56</v>
      </c>
      <c r="C11" s="37">
        <v>494.76900000000001</v>
      </c>
      <c r="D11" s="18">
        <v>548.26900000000001</v>
      </c>
      <c r="E11" s="32">
        <v>650.22799999999995</v>
      </c>
      <c r="F11" s="32">
        <v>738.65800000000002</v>
      </c>
      <c r="G11" s="32">
        <v>740.947</v>
      </c>
      <c r="H11" s="38">
        <v>721.81100000000004</v>
      </c>
    </row>
    <row r="12" spans="1:8" ht="15">
      <c r="A12" s="7" t="s">
        <v>57</v>
      </c>
      <c r="C12" s="37">
        <v>487.79700000000003</v>
      </c>
      <c r="D12" s="18">
        <v>602.17200000000003</v>
      </c>
      <c r="E12" s="32">
        <v>625.06600000000003</v>
      </c>
      <c r="F12" s="32">
        <v>652.97299999999996</v>
      </c>
      <c r="G12" s="32">
        <v>659.09299999999996</v>
      </c>
      <c r="H12" s="38">
        <v>718.71799999999996</v>
      </c>
    </row>
    <row r="13" spans="1:8" thickBot="1">
      <c r="A13" s="8" t="s">
        <v>58</v>
      </c>
      <c r="C13" s="40">
        <v>501.55500000000001</v>
      </c>
      <c r="D13" s="45">
        <v>607.51700000000005</v>
      </c>
      <c r="E13" s="42">
        <v>634.79899999999998</v>
      </c>
      <c r="F13" s="42">
        <v>658.24099999999999</v>
      </c>
      <c r="G13" s="42">
        <v>651.10400000000004</v>
      </c>
      <c r="H13" s="43">
        <v>662.12599999999998</v>
      </c>
    </row>
    <row r="15" spans="1:8" ht="12.75">
      <c r="A15" s="6"/>
      <c r="C15" s="6"/>
      <c r="D15" s="6"/>
      <c r="E15" s="6"/>
      <c r="F15" s="6"/>
      <c r="G15" s="6"/>
      <c r="H15" s="6"/>
    </row>
    <row r="16" spans="1:8" ht="12.75">
      <c r="A16" s="6"/>
      <c r="C16" s="6"/>
      <c r="D16" s="6"/>
      <c r="E16" s="6"/>
      <c r="F16" s="6"/>
      <c r="G16" s="6"/>
      <c r="H1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6"/>
  <sheetViews>
    <sheetView workbookViewId="0">
      <selection activeCell="J23" sqref="J23"/>
    </sheetView>
  </sheetViews>
  <sheetFormatPr defaultColWidth="12.5703125" defaultRowHeight="15.75" customHeight="1"/>
  <cols>
    <col min="2" max="2" width="12.5703125" hidden="1" customWidth="1"/>
  </cols>
  <sheetData>
    <row r="1" spans="1:8" ht="13.5" thickBot="1">
      <c r="A1" s="1" t="s">
        <v>0</v>
      </c>
      <c r="B1" s="2" t="s">
        <v>1</v>
      </c>
      <c r="C1" s="3" t="s">
        <v>25</v>
      </c>
      <c r="D1" s="3" t="s">
        <v>26</v>
      </c>
      <c r="E1" s="4" t="s">
        <v>27</v>
      </c>
      <c r="F1" s="4" t="s">
        <v>28</v>
      </c>
      <c r="G1" s="3" t="s">
        <v>29</v>
      </c>
      <c r="H1" s="5" t="s">
        <v>30</v>
      </c>
    </row>
    <row r="2" spans="1:8" ht="15">
      <c r="A2" s="7" t="s">
        <v>59</v>
      </c>
      <c r="C2" s="33">
        <v>684.94799999999998</v>
      </c>
      <c r="D2" s="35">
        <v>720.245</v>
      </c>
      <c r="E2" s="35">
        <v>735.36099999999999</v>
      </c>
      <c r="F2" s="35">
        <v>781.255</v>
      </c>
      <c r="G2" s="44">
        <v>721.69899999999996</v>
      </c>
      <c r="H2" s="36">
        <v>855.09400000000005</v>
      </c>
    </row>
    <row r="3" spans="1:8" ht="15">
      <c r="A3" s="8" t="s">
        <v>60</v>
      </c>
      <c r="C3" s="37">
        <v>654.44299999999998</v>
      </c>
      <c r="D3" s="32">
        <v>749.05700000000002</v>
      </c>
      <c r="E3" s="32">
        <v>836.52800000000002</v>
      </c>
      <c r="F3" s="32">
        <v>839.35900000000004</v>
      </c>
      <c r="G3" s="18">
        <v>864.173</v>
      </c>
      <c r="H3" s="38">
        <v>961.12400000000002</v>
      </c>
    </row>
    <row r="4" spans="1:8" ht="15">
      <c r="A4" s="7" t="s">
        <v>61</v>
      </c>
      <c r="C4" s="37">
        <v>621.87099999999998</v>
      </c>
      <c r="D4" s="32">
        <v>695.37800000000004</v>
      </c>
      <c r="E4" s="32">
        <v>1023.447</v>
      </c>
      <c r="F4" s="32">
        <v>852.471</v>
      </c>
      <c r="G4" s="18">
        <v>896.33199999999999</v>
      </c>
      <c r="H4" s="38">
        <v>947.29399999999998</v>
      </c>
    </row>
    <row r="5" spans="1:8" ht="15">
      <c r="A5" s="8" t="s">
        <v>62</v>
      </c>
      <c r="C5" s="37">
        <v>654.64099999999996</v>
      </c>
      <c r="D5" s="32">
        <v>703.40800000000002</v>
      </c>
      <c r="E5" s="32">
        <v>779.00599999999997</v>
      </c>
      <c r="F5" s="32">
        <v>818.49900000000002</v>
      </c>
      <c r="G5" s="18">
        <v>846.63</v>
      </c>
      <c r="H5" s="38">
        <v>845.58399999999995</v>
      </c>
    </row>
    <row r="6" spans="1:8" ht="15">
      <c r="A6" s="7" t="s">
        <v>63</v>
      </c>
      <c r="C6" s="37">
        <v>714.17700000000002</v>
      </c>
      <c r="D6" s="32">
        <v>790.11400000000003</v>
      </c>
      <c r="E6" s="32">
        <v>813.72299999999996</v>
      </c>
      <c r="F6" s="32">
        <v>959.52499999999998</v>
      </c>
      <c r="G6" s="18">
        <v>875.5</v>
      </c>
      <c r="H6" s="38">
        <v>920.87099999999998</v>
      </c>
    </row>
    <row r="7" spans="1:8" ht="15">
      <c r="A7" s="8" t="s">
        <v>64</v>
      </c>
      <c r="C7" s="37">
        <v>671.16700000000003</v>
      </c>
      <c r="D7" s="32">
        <v>702.47799999999995</v>
      </c>
      <c r="E7" s="32">
        <v>841.154</v>
      </c>
      <c r="F7" s="32">
        <v>832.09100000000001</v>
      </c>
      <c r="G7" s="18">
        <v>940.05</v>
      </c>
      <c r="H7" s="38">
        <v>985.63300000000004</v>
      </c>
    </row>
    <row r="8" spans="1:8" ht="15">
      <c r="A8" s="7" t="s">
        <v>65</v>
      </c>
      <c r="C8" s="37">
        <v>644.21</v>
      </c>
      <c r="D8" s="32">
        <v>673.37400000000002</v>
      </c>
      <c r="E8" s="32">
        <v>728.303</v>
      </c>
      <c r="F8" s="32">
        <v>766.70799999999997</v>
      </c>
      <c r="G8" s="18">
        <v>768.83199999999999</v>
      </c>
      <c r="H8" s="38">
        <v>862.45699999999999</v>
      </c>
    </row>
    <row r="9" spans="1:8" ht="15">
      <c r="A9" s="8" t="s">
        <v>66</v>
      </c>
      <c r="C9" s="37">
        <v>716.41099999999994</v>
      </c>
      <c r="D9" s="32">
        <v>793.30799999999999</v>
      </c>
      <c r="E9" s="32">
        <v>858.41399999999999</v>
      </c>
      <c r="F9" s="32">
        <v>801.99900000000002</v>
      </c>
      <c r="G9" s="18">
        <v>897.26599999999996</v>
      </c>
      <c r="H9" s="38">
        <v>903.85799999999995</v>
      </c>
    </row>
    <row r="10" spans="1:8" ht="15">
      <c r="A10" s="7" t="s">
        <v>67</v>
      </c>
      <c r="C10" s="37">
        <v>726.03800000000001</v>
      </c>
      <c r="D10" s="32">
        <v>723.03300000000002</v>
      </c>
      <c r="E10" s="32">
        <v>743.20600000000002</v>
      </c>
      <c r="F10" s="32">
        <v>830.19399999999996</v>
      </c>
      <c r="G10" s="18">
        <v>910.202</v>
      </c>
      <c r="H10" s="38">
        <v>824.68700000000001</v>
      </c>
    </row>
    <row r="11" spans="1:8" ht="15">
      <c r="A11" s="8" t="s">
        <v>68</v>
      </c>
      <c r="C11" s="37">
        <v>646.17200000000003</v>
      </c>
      <c r="D11" s="32">
        <v>780.89300000000003</v>
      </c>
      <c r="E11" s="32">
        <v>785.91300000000001</v>
      </c>
      <c r="F11" s="32">
        <v>833.90899999999999</v>
      </c>
      <c r="G11" s="18">
        <v>785.48900000000003</v>
      </c>
      <c r="H11" s="38">
        <v>834.31500000000005</v>
      </c>
    </row>
    <row r="12" spans="1:8" ht="15">
      <c r="A12" s="7" t="s">
        <v>69</v>
      </c>
      <c r="C12" s="37">
        <v>611.69899999999996</v>
      </c>
      <c r="D12" s="32">
        <v>696.99800000000005</v>
      </c>
      <c r="E12" s="32">
        <v>698.93200000000002</v>
      </c>
      <c r="F12" s="32">
        <v>709.95899999999995</v>
      </c>
      <c r="G12" s="18">
        <v>835.48599999999999</v>
      </c>
      <c r="H12" s="38">
        <v>867.68600000000004</v>
      </c>
    </row>
    <row r="13" spans="1:8" thickBot="1">
      <c r="A13" s="8" t="s">
        <v>70</v>
      </c>
      <c r="C13" s="40">
        <v>646.53700000000003</v>
      </c>
      <c r="D13" s="42">
        <v>752.11699999999996</v>
      </c>
      <c r="E13" s="42">
        <v>770.17600000000004</v>
      </c>
      <c r="F13" s="42">
        <v>777.24599999999998</v>
      </c>
      <c r="G13" s="45">
        <v>819.74400000000003</v>
      </c>
      <c r="H13" s="43">
        <v>813.221</v>
      </c>
    </row>
    <row r="15" spans="1:8" ht="12.75">
      <c r="A15" s="6"/>
      <c r="C15" s="6"/>
      <c r="D15" s="6"/>
      <c r="E15" s="6"/>
      <c r="F15" s="6"/>
      <c r="G15" s="6"/>
      <c r="H15" s="6"/>
    </row>
    <row r="16" spans="1:8" ht="12.75">
      <c r="A16" s="6"/>
      <c r="C16" s="6"/>
      <c r="D16" s="6"/>
      <c r="E16" s="6"/>
      <c r="F16" s="6"/>
      <c r="G16" s="6"/>
      <c r="H16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49"/>
  <sheetViews>
    <sheetView topLeftCell="A90" zoomScale="85" zoomScaleNormal="85" workbookViewId="0">
      <selection activeCell="A123" sqref="A123:Q150"/>
    </sheetView>
  </sheetViews>
  <sheetFormatPr defaultColWidth="12.5703125" defaultRowHeight="15.75" customHeight="1"/>
  <sheetData>
    <row r="1" spans="1:22" ht="13.5" thickBo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 t="s">
        <v>8</v>
      </c>
    </row>
    <row r="2" spans="1:22" ht="14.25">
      <c r="A2" s="7" t="s">
        <v>9</v>
      </c>
      <c r="C2" s="19">
        <v>227.64400000000001</v>
      </c>
      <c r="D2" s="20">
        <v>297.19099999999997</v>
      </c>
      <c r="E2" s="21">
        <v>317.19799999999998</v>
      </c>
      <c r="F2" s="20">
        <v>350.67599999999999</v>
      </c>
      <c r="G2" s="21">
        <v>380.59</v>
      </c>
      <c r="H2" s="22">
        <v>440.67399999999998</v>
      </c>
    </row>
    <row r="3" spans="1:22" ht="14.25">
      <c r="A3" s="8" t="s">
        <v>10</v>
      </c>
      <c r="C3" s="23">
        <v>236.89400000000001</v>
      </c>
      <c r="D3" s="15">
        <v>263.32600000000002</v>
      </c>
      <c r="E3" s="16">
        <v>338.02100000000002</v>
      </c>
      <c r="F3" s="15">
        <v>354.91399999999999</v>
      </c>
      <c r="G3" s="16">
        <v>375.01</v>
      </c>
      <c r="H3" s="24">
        <v>448.16899999999998</v>
      </c>
    </row>
    <row r="4" spans="1:22" ht="14.25">
      <c r="A4" s="8" t="s">
        <v>11</v>
      </c>
      <c r="C4" s="23">
        <v>246.61</v>
      </c>
      <c r="D4" s="15">
        <v>335.13900000000001</v>
      </c>
      <c r="E4" s="16">
        <v>334.33100000000002</v>
      </c>
      <c r="F4" s="15">
        <v>367.83300000000003</v>
      </c>
      <c r="G4" s="16">
        <v>398.21499999999997</v>
      </c>
      <c r="H4" s="24">
        <v>600.18600000000004</v>
      </c>
      <c r="L4" s="6" t="s">
        <v>12</v>
      </c>
      <c r="M4" s="6" t="s">
        <v>13</v>
      </c>
      <c r="N4" s="46" t="s">
        <v>71</v>
      </c>
      <c r="O4" s="46" t="s">
        <v>72</v>
      </c>
      <c r="P4" s="46" t="s">
        <v>73</v>
      </c>
      <c r="R4" s="6"/>
      <c r="S4" s="6"/>
      <c r="T4" s="6"/>
      <c r="U4" s="6"/>
      <c r="V4" s="6"/>
    </row>
    <row r="5" spans="1:22" ht="15">
      <c r="A5" s="8" t="s">
        <v>15</v>
      </c>
      <c r="C5" s="25">
        <v>252.53200000000001</v>
      </c>
      <c r="D5" s="17">
        <v>305.69499999999999</v>
      </c>
      <c r="E5" s="18">
        <v>416.41699999999997</v>
      </c>
      <c r="F5" s="18">
        <v>429.08600000000001</v>
      </c>
      <c r="G5" s="18">
        <v>378.63499999999999</v>
      </c>
      <c r="H5" s="26">
        <v>446.01799999999997</v>
      </c>
      <c r="L5" s="6">
        <v>2</v>
      </c>
      <c r="M5">
        <v>248.57133333333334</v>
      </c>
      <c r="N5">
        <v>397.6825</v>
      </c>
      <c r="O5">
        <v>529.62275</v>
      </c>
      <c r="P5">
        <v>666.02616666666677</v>
      </c>
      <c r="R5" s="6"/>
      <c r="S5" s="6"/>
      <c r="T5" s="6"/>
      <c r="U5" s="6"/>
      <c r="V5" s="6"/>
    </row>
    <row r="6" spans="1:22" ht="14.25">
      <c r="A6" s="8" t="s">
        <v>16</v>
      </c>
      <c r="C6" s="23">
        <v>237.73099999999999</v>
      </c>
      <c r="D6" s="15">
        <v>268.88099999999997</v>
      </c>
      <c r="E6" s="16">
        <v>329.61900000000003</v>
      </c>
      <c r="F6" s="15">
        <v>403.24200000000002</v>
      </c>
      <c r="G6" s="16">
        <v>421.55099999999999</v>
      </c>
      <c r="H6" s="24">
        <v>482.75</v>
      </c>
      <c r="L6" s="6">
        <v>3</v>
      </c>
      <c r="M6">
        <v>300.54958333333337</v>
      </c>
      <c r="N6">
        <v>423.36942307692306</v>
      </c>
      <c r="O6">
        <v>589.01200000000006</v>
      </c>
      <c r="P6">
        <v>731.70024999999998</v>
      </c>
      <c r="R6" s="6"/>
      <c r="S6" s="6"/>
      <c r="T6" s="6"/>
      <c r="U6" s="6"/>
      <c r="V6" s="6"/>
    </row>
    <row r="7" spans="1:22" ht="14.25">
      <c r="A7" s="8" t="s">
        <v>17</v>
      </c>
      <c r="C7" s="23">
        <v>251.17099999999999</v>
      </c>
      <c r="D7" s="15">
        <v>300.48899999999998</v>
      </c>
      <c r="E7" s="16">
        <v>386.92099999999999</v>
      </c>
      <c r="F7" s="15">
        <v>437.09</v>
      </c>
      <c r="G7" s="16">
        <v>453.56200000000001</v>
      </c>
      <c r="H7" s="24">
        <v>480.29500000000002</v>
      </c>
      <c r="L7" s="6">
        <v>4</v>
      </c>
      <c r="M7">
        <v>333.06974999999994</v>
      </c>
      <c r="N7">
        <v>440.57759090909093</v>
      </c>
      <c r="O7">
        <v>650.51799999999992</v>
      </c>
      <c r="P7">
        <v>801.18025</v>
      </c>
    </row>
    <row r="8" spans="1:22" ht="14.25">
      <c r="A8" s="8" t="s">
        <v>18</v>
      </c>
      <c r="C8" s="23">
        <v>250.80799999999999</v>
      </c>
      <c r="D8" s="15">
        <v>301.94499999999999</v>
      </c>
      <c r="E8" s="16">
        <v>313.81700000000001</v>
      </c>
      <c r="F8" s="15">
        <v>367.61700000000002</v>
      </c>
      <c r="G8" s="16">
        <v>378.41</v>
      </c>
      <c r="H8" s="24">
        <v>408.06299999999999</v>
      </c>
      <c r="L8" s="6">
        <v>5</v>
      </c>
      <c r="M8">
        <v>381.97191666666669</v>
      </c>
      <c r="N8">
        <v>473.34072222222221</v>
      </c>
      <c r="O8">
        <v>694.88133333333337</v>
      </c>
      <c r="P8">
        <v>816.93458333333319</v>
      </c>
    </row>
    <row r="9" spans="1:22" ht="14.25">
      <c r="A9" s="8" t="s">
        <v>19</v>
      </c>
      <c r="C9" s="23">
        <v>240.16499999999999</v>
      </c>
      <c r="D9" s="15">
        <v>288.89100000000002</v>
      </c>
      <c r="E9" s="16">
        <v>306.29399999999998</v>
      </c>
      <c r="F9" s="15">
        <v>377.83600000000001</v>
      </c>
      <c r="G9" s="16">
        <v>394.74900000000002</v>
      </c>
      <c r="H9" s="24">
        <v>483.56200000000001</v>
      </c>
      <c r="L9" s="6">
        <v>6</v>
      </c>
      <c r="M9">
        <v>402.05008333333336</v>
      </c>
      <c r="N9">
        <v>489.0043571428572</v>
      </c>
      <c r="O9">
        <v>729.88524999999993</v>
      </c>
      <c r="P9">
        <v>846.78358333333347</v>
      </c>
    </row>
    <row r="10" spans="1:22" ht="14.25">
      <c r="A10" s="8" t="s">
        <v>20</v>
      </c>
      <c r="C10" s="23">
        <v>248.54300000000001</v>
      </c>
      <c r="D10" s="15">
        <v>327.38099999999997</v>
      </c>
      <c r="E10" s="16">
        <v>275.46800000000002</v>
      </c>
      <c r="F10" s="15">
        <v>355.29899999999998</v>
      </c>
      <c r="G10" s="16">
        <v>376.67899999999997</v>
      </c>
      <c r="H10" s="24">
        <v>447.02499999999998</v>
      </c>
      <c r="L10" s="6">
        <v>7</v>
      </c>
      <c r="M10">
        <v>458.95416666666665</v>
      </c>
      <c r="N10">
        <v>574.36920000000009</v>
      </c>
      <c r="O10">
        <v>773.31741666666676</v>
      </c>
      <c r="P10">
        <v>885.15199999999993</v>
      </c>
    </row>
    <row r="11" spans="1:22" ht="14.25">
      <c r="A11" s="8" t="s">
        <v>21</v>
      </c>
      <c r="C11" s="23">
        <v>278.56099999999998</v>
      </c>
      <c r="D11" s="15">
        <v>316.084</v>
      </c>
      <c r="E11" s="16">
        <v>313.36599999999999</v>
      </c>
      <c r="F11" s="15">
        <v>351.73599999999999</v>
      </c>
      <c r="G11" s="16">
        <v>395.476</v>
      </c>
      <c r="H11" s="24">
        <v>405.03399999999999</v>
      </c>
      <c r="M11" s="6" t="s">
        <v>14</v>
      </c>
      <c r="N11" t="s">
        <v>45</v>
      </c>
      <c r="O11" t="s">
        <v>14</v>
      </c>
      <c r="P11" t="s">
        <v>14</v>
      </c>
    </row>
    <row r="12" spans="1:22" ht="14.25">
      <c r="A12" s="8" t="s">
        <v>22</v>
      </c>
      <c r="C12" s="23">
        <v>257.06099999999998</v>
      </c>
      <c r="D12" s="15">
        <v>292.09199999999998</v>
      </c>
      <c r="E12" s="16">
        <v>353.06200000000001</v>
      </c>
      <c r="F12" s="15">
        <v>417.38600000000002</v>
      </c>
      <c r="G12" s="16">
        <v>457.22199999999998</v>
      </c>
      <c r="H12" s="24">
        <v>418.505</v>
      </c>
      <c r="M12">
        <v>12.821634815160396</v>
      </c>
      <c r="N12">
        <v>88.359357657844711</v>
      </c>
      <c r="O12">
        <v>29.87566071730388</v>
      </c>
      <c r="P12">
        <v>37.243535736440428</v>
      </c>
    </row>
    <row r="13" spans="1:22" ht="15" thickBot="1">
      <c r="A13" s="9" t="s">
        <v>23</v>
      </c>
      <c r="C13" s="27">
        <v>255.136</v>
      </c>
      <c r="D13" s="28">
        <v>309.48099999999999</v>
      </c>
      <c r="E13" s="29">
        <v>312.32299999999998</v>
      </c>
      <c r="F13" s="28">
        <v>370.94799999999998</v>
      </c>
      <c r="G13" s="29">
        <v>414.50200000000001</v>
      </c>
      <c r="H13" s="30">
        <v>447.16899999999998</v>
      </c>
      <c r="M13">
        <v>21.047769976708317</v>
      </c>
      <c r="N13">
        <v>74.653976099427524</v>
      </c>
      <c r="O13">
        <v>28.648757260053259</v>
      </c>
      <c r="P13">
        <v>40.599985302561151</v>
      </c>
    </row>
    <row r="14" spans="1:22" ht="12.75">
      <c r="C14" s="12"/>
      <c r="D14" s="12"/>
      <c r="E14" s="13"/>
      <c r="F14" s="13"/>
      <c r="G14" s="12"/>
      <c r="H14" s="14"/>
      <c r="M14">
        <v>37.85207235139837</v>
      </c>
      <c r="N14">
        <v>70.313251429150995</v>
      </c>
      <c r="O14">
        <v>29.767313990043135</v>
      </c>
      <c r="P14">
        <v>85.720439020345268</v>
      </c>
    </row>
    <row r="15" spans="1:22" ht="12.75">
      <c r="A15" s="6" t="s">
        <v>24</v>
      </c>
      <c r="B15" s="6">
        <f>AVERAGE(C2:C13)</f>
        <v>248.57133333333334</v>
      </c>
      <c r="C15" s="6">
        <f t="shared" ref="C15:H15" si="0">AVERAGE(C2:C13)</f>
        <v>248.57133333333334</v>
      </c>
      <c r="D15" s="6">
        <f t="shared" si="0"/>
        <v>300.54958333333337</v>
      </c>
      <c r="E15" s="6">
        <f t="shared" si="0"/>
        <v>333.06974999999994</v>
      </c>
      <c r="F15" s="6">
        <f t="shared" si="0"/>
        <v>381.97191666666669</v>
      </c>
      <c r="G15" s="6">
        <f t="shared" si="0"/>
        <v>402.05008333333336</v>
      </c>
      <c r="H15" s="6">
        <f t="shared" si="0"/>
        <v>458.95416666666665</v>
      </c>
      <c r="M15">
        <v>31.400838493316286</v>
      </c>
      <c r="N15">
        <v>52.968281134374649</v>
      </c>
      <c r="O15">
        <v>54.733458034590164</v>
      </c>
      <c r="P15">
        <v>60.175197760687745</v>
      </c>
    </row>
    <row r="16" spans="1:22" ht="12.75">
      <c r="A16" s="6" t="s">
        <v>14</v>
      </c>
      <c r="B16" s="6">
        <f>STDEV(C2:C13)</f>
        <v>12.821634815160396</v>
      </c>
      <c r="C16" s="6">
        <f t="shared" ref="C16:H16" si="1">STDEV(C2:C13)</f>
        <v>12.821634815160396</v>
      </c>
      <c r="D16" s="6">
        <f t="shared" si="1"/>
        <v>21.047769976708317</v>
      </c>
      <c r="E16" s="6">
        <f t="shared" si="1"/>
        <v>37.85207235139837</v>
      </c>
      <c r="F16" s="6">
        <f t="shared" si="1"/>
        <v>31.400838493316286</v>
      </c>
      <c r="G16" s="6">
        <f t="shared" si="1"/>
        <v>29.055587791361493</v>
      </c>
      <c r="H16" s="6">
        <f t="shared" si="1"/>
        <v>51.879320852836202</v>
      </c>
      <c r="M16">
        <v>29.055587791361493</v>
      </c>
      <c r="N16">
        <v>44.633912847670075</v>
      </c>
      <c r="O16">
        <v>58.521890154842538</v>
      </c>
      <c r="P16">
        <v>64.094738655805912</v>
      </c>
    </row>
    <row r="17" spans="13:16" ht="15.75" customHeight="1">
      <c r="M17">
        <v>51.879320852836202</v>
      </c>
      <c r="N17">
        <v>93.235557842368735</v>
      </c>
      <c r="O17">
        <v>56.431660421269861</v>
      </c>
      <c r="P17">
        <v>57.254841343529428</v>
      </c>
    </row>
    <row r="38" spans="1:17" ht="15.75" customHeight="1" thickBot="1"/>
    <row r="39" spans="1:17" ht="15.75" customHeight="1" thickBot="1">
      <c r="A39" s="1" t="s">
        <v>0</v>
      </c>
      <c r="B39" s="2" t="s">
        <v>1</v>
      </c>
      <c r="C39" s="3" t="s">
        <v>2</v>
      </c>
      <c r="D39" s="3" t="s">
        <v>3</v>
      </c>
      <c r="E39" s="4" t="s">
        <v>4</v>
      </c>
      <c r="F39" s="4" t="s">
        <v>5</v>
      </c>
      <c r="G39" s="3" t="s">
        <v>6</v>
      </c>
      <c r="H39" s="5" t="s">
        <v>7</v>
      </c>
      <c r="I39" s="6" t="s">
        <v>8</v>
      </c>
    </row>
    <row r="40" spans="1:17" ht="15.75" customHeight="1">
      <c r="A40" s="7" t="s">
        <v>9</v>
      </c>
      <c r="C40" s="19">
        <v>227.64400000000001</v>
      </c>
      <c r="D40" s="20">
        <v>297.19099999999997</v>
      </c>
      <c r="E40" s="21">
        <v>317.19799999999998</v>
      </c>
      <c r="F40" s="20">
        <v>350.67599999999999</v>
      </c>
      <c r="G40" s="21">
        <v>380.59</v>
      </c>
      <c r="H40" s="22">
        <v>440.67399999999998</v>
      </c>
    </row>
    <row r="41" spans="1:17" ht="15.75" customHeight="1">
      <c r="A41" s="8" t="s">
        <v>10</v>
      </c>
      <c r="C41" s="23">
        <v>236.89400000000001</v>
      </c>
      <c r="D41" s="15">
        <v>263.32600000000002</v>
      </c>
      <c r="E41" s="16">
        <v>338.02100000000002</v>
      </c>
      <c r="F41" s="15">
        <v>354.91399999999999</v>
      </c>
      <c r="G41" s="16">
        <v>375.01</v>
      </c>
      <c r="H41" s="24">
        <v>448.16899999999998</v>
      </c>
    </row>
    <row r="42" spans="1:17" ht="15.75" customHeight="1">
      <c r="A42" s="8" t="s">
        <v>11</v>
      </c>
      <c r="C42" s="23">
        <v>246.61</v>
      </c>
      <c r="D42" s="15">
        <v>335.13900000000001</v>
      </c>
      <c r="E42" s="16">
        <v>334.33100000000002</v>
      </c>
      <c r="F42" s="15">
        <v>367.83300000000003</v>
      </c>
      <c r="G42" s="16">
        <v>398.21499999999997</v>
      </c>
      <c r="H42" s="24">
        <v>600.18600000000004</v>
      </c>
      <c r="L42" s="6" t="s">
        <v>12</v>
      </c>
      <c r="M42" s="6" t="s">
        <v>13</v>
      </c>
      <c r="N42" s="6" t="s">
        <v>14</v>
      </c>
      <c r="P42" s="6"/>
      <c r="Q42" s="6"/>
    </row>
    <row r="43" spans="1:17" ht="15.75" customHeight="1">
      <c r="A43" s="8" t="s">
        <v>15</v>
      </c>
      <c r="C43" s="25">
        <v>252.53200000000001</v>
      </c>
      <c r="D43" s="17">
        <v>305.69499999999999</v>
      </c>
      <c r="E43" s="18">
        <v>416.41699999999997</v>
      </c>
      <c r="F43" s="18">
        <v>429.08600000000001</v>
      </c>
      <c r="G43" s="18">
        <v>378.63499999999999</v>
      </c>
      <c r="H43" s="26">
        <v>446.01799999999997</v>
      </c>
      <c r="L43" s="6">
        <v>2</v>
      </c>
      <c r="M43">
        <v>248.57133333333334</v>
      </c>
      <c r="N43">
        <v>12.821634815160396</v>
      </c>
      <c r="P43" s="6"/>
      <c r="Q43" s="6"/>
    </row>
    <row r="44" spans="1:17" ht="15.75" customHeight="1">
      <c r="A44" s="8" t="s">
        <v>16</v>
      </c>
      <c r="C44" s="23">
        <v>237.73099999999999</v>
      </c>
      <c r="D44" s="15">
        <v>268.88099999999997</v>
      </c>
      <c r="E44" s="16">
        <v>329.61900000000003</v>
      </c>
      <c r="F44" s="15">
        <v>403.24200000000002</v>
      </c>
      <c r="G44" s="16">
        <v>421.55099999999999</v>
      </c>
      <c r="H44" s="24">
        <v>482.75</v>
      </c>
      <c r="L44" s="6">
        <v>3</v>
      </c>
      <c r="M44">
        <v>300.54958333333337</v>
      </c>
      <c r="N44">
        <v>21.047769976708317</v>
      </c>
      <c r="P44" s="6"/>
      <c r="Q44" s="6"/>
    </row>
    <row r="45" spans="1:17" ht="15.75" customHeight="1">
      <c r="A45" s="8" t="s">
        <v>17</v>
      </c>
      <c r="C45" s="23">
        <v>251.17099999999999</v>
      </c>
      <c r="D45" s="15">
        <v>300.48899999999998</v>
      </c>
      <c r="E45" s="16">
        <v>386.92099999999999</v>
      </c>
      <c r="F45" s="15">
        <v>437.09</v>
      </c>
      <c r="G45" s="16">
        <v>453.56200000000001</v>
      </c>
      <c r="H45" s="24">
        <v>480.29500000000002</v>
      </c>
      <c r="L45" s="6">
        <v>4</v>
      </c>
      <c r="M45">
        <v>333.06974999999994</v>
      </c>
      <c r="N45">
        <v>37.85207235139837</v>
      </c>
    </row>
    <row r="46" spans="1:17" ht="15.75" customHeight="1">
      <c r="A46" s="8" t="s">
        <v>18</v>
      </c>
      <c r="C46" s="23">
        <v>250.80799999999999</v>
      </c>
      <c r="D46" s="15">
        <v>301.94499999999999</v>
      </c>
      <c r="E46" s="16">
        <v>313.81700000000001</v>
      </c>
      <c r="F46" s="15">
        <v>367.61700000000002</v>
      </c>
      <c r="G46" s="16">
        <v>378.41</v>
      </c>
      <c r="H46" s="24">
        <v>408.06299999999999</v>
      </c>
      <c r="L46" s="6">
        <v>5</v>
      </c>
      <c r="M46">
        <v>381.97191666666669</v>
      </c>
      <c r="N46">
        <v>31.400838493316286</v>
      </c>
    </row>
    <row r="47" spans="1:17" ht="15.75" customHeight="1">
      <c r="A47" s="8" t="s">
        <v>19</v>
      </c>
      <c r="C47" s="23">
        <v>240.16499999999999</v>
      </c>
      <c r="D47" s="15">
        <v>288.89100000000002</v>
      </c>
      <c r="E47" s="16">
        <v>306.29399999999998</v>
      </c>
      <c r="F47" s="15">
        <v>377.83600000000001</v>
      </c>
      <c r="G47" s="16">
        <v>394.74900000000002</v>
      </c>
      <c r="H47" s="24">
        <v>483.56200000000001</v>
      </c>
      <c r="L47" s="6">
        <v>6</v>
      </c>
      <c r="M47">
        <v>402.05008333333336</v>
      </c>
      <c r="N47">
        <v>29.055587791361493</v>
      </c>
    </row>
    <row r="48" spans="1:17" ht="15.75" customHeight="1">
      <c r="A48" s="8" t="s">
        <v>20</v>
      </c>
      <c r="C48" s="23">
        <v>248.54300000000001</v>
      </c>
      <c r="D48" s="15">
        <v>327.38099999999997</v>
      </c>
      <c r="E48" s="16">
        <v>275.46800000000002</v>
      </c>
      <c r="F48" s="15">
        <v>355.29899999999998</v>
      </c>
      <c r="G48" s="16">
        <v>376.67899999999997</v>
      </c>
      <c r="H48" s="24">
        <v>447.02499999999998</v>
      </c>
      <c r="L48" s="6">
        <v>7</v>
      </c>
      <c r="M48">
        <v>458.95416666666665</v>
      </c>
      <c r="N48">
        <v>51.879320852836202</v>
      </c>
    </row>
    <row r="49" spans="1:8" ht="15.75" customHeight="1">
      <c r="A49" s="8" t="s">
        <v>21</v>
      </c>
      <c r="C49" s="23">
        <v>278.56099999999998</v>
      </c>
      <c r="D49" s="15">
        <v>316.084</v>
      </c>
      <c r="E49" s="16">
        <v>313.36599999999999</v>
      </c>
      <c r="F49" s="15">
        <v>351.73599999999999</v>
      </c>
      <c r="G49" s="16">
        <v>395.476</v>
      </c>
      <c r="H49" s="24">
        <v>405.03399999999999</v>
      </c>
    </row>
    <row r="50" spans="1:8" ht="15.75" customHeight="1">
      <c r="A50" s="8" t="s">
        <v>22</v>
      </c>
      <c r="C50" s="23">
        <v>257.06099999999998</v>
      </c>
      <c r="D50" s="15">
        <v>292.09199999999998</v>
      </c>
      <c r="E50" s="16">
        <v>353.06200000000001</v>
      </c>
      <c r="F50" s="15">
        <v>417.38600000000002</v>
      </c>
      <c r="G50" s="16">
        <v>457.22199999999998</v>
      </c>
      <c r="H50" s="24">
        <v>418.505</v>
      </c>
    </row>
    <row r="51" spans="1:8" ht="15.75" customHeight="1" thickBot="1">
      <c r="A51" s="9" t="s">
        <v>23</v>
      </c>
      <c r="C51" s="27">
        <v>255.136</v>
      </c>
      <c r="D51" s="28">
        <v>309.48099999999999</v>
      </c>
      <c r="E51" s="29">
        <v>312.32299999999998</v>
      </c>
      <c r="F51" s="28">
        <v>370.94799999999998</v>
      </c>
      <c r="G51" s="29">
        <v>414.50200000000001</v>
      </c>
      <c r="H51" s="30">
        <v>447.16899999999998</v>
      </c>
    </row>
    <row r="52" spans="1:8" ht="15.75" customHeight="1">
      <c r="C52" s="12"/>
      <c r="D52" s="12"/>
      <c r="E52" s="13"/>
      <c r="F52" s="13"/>
      <c r="G52" s="12"/>
      <c r="H52" s="14"/>
    </row>
    <row r="53" spans="1:8" ht="15.75" customHeight="1">
      <c r="A53" s="6" t="s">
        <v>24</v>
      </c>
      <c r="B53" s="6">
        <f>AVERAGE(C40:C51)</f>
        <v>248.57133333333334</v>
      </c>
      <c r="C53" s="6">
        <f t="shared" ref="C53:H53" si="2">AVERAGE(C40:C51)</f>
        <v>248.57133333333334</v>
      </c>
      <c r="D53" s="6">
        <f t="shared" si="2"/>
        <v>300.54958333333337</v>
      </c>
      <c r="E53" s="6">
        <f t="shared" si="2"/>
        <v>333.06974999999994</v>
      </c>
      <c r="F53" s="6">
        <f t="shared" si="2"/>
        <v>381.97191666666669</v>
      </c>
      <c r="G53" s="6">
        <f t="shared" si="2"/>
        <v>402.05008333333336</v>
      </c>
      <c r="H53" s="6">
        <f t="shared" si="2"/>
        <v>458.95416666666665</v>
      </c>
    </row>
    <row r="54" spans="1:8" ht="15.75" customHeight="1">
      <c r="A54" s="6" t="s">
        <v>14</v>
      </c>
      <c r="B54" s="6">
        <f>STDEV(C40:C51)</f>
        <v>12.821634815160396</v>
      </c>
      <c r="C54" s="6">
        <f t="shared" ref="C54:H54" si="3">STDEV(C40:C51)</f>
        <v>12.821634815160396</v>
      </c>
      <c r="D54" s="6">
        <f t="shared" si="3"/>
        <v>21.047769976708317</v>
      </c>
      <c r="E54" s="6">
        <f t="shared" si="3"/>
        <v>37.85207235139837</v>
      </c>
      <c r="F54" s="6">
        <f t="shared" si="3"/>
        <v>31.400838493316286</v>
      </c>
      <c r="G54" s="6">
        <f t="shared" si="3"/>
        <v>29.055587791361493</v>
      </c>
      <c r="H54" s="6">
        <f t="shared" si="3"/>
        <v>51.879320852836202</v>
      </c>
    </row>
    <row r="72" spans="1:14" ht="15.75" customHeight="1" thickBot="1"/>
    <row r="73" spans="1:14" ht="15.75" customHeight="1" thickBot="1">
      <c r="A73" s="1" t="s">
        <v>0</v>
      </c>
      <c r="B73" s="2" t="s">
        <v>1</v>
      </c>
      <c r="C73" s="3" t="s">
        <v>25</v>
      </c>
      <c r="D73" s="3" t="s">
        <v>26</v>
      </c>
      <c r="E73" s="4" t="s">
        <v>27</v>
      </c>
      <c r="F73" s="4" t="s">
        <v>28</v>
      </c>
      <c r="G73" s="3" t="s">
        <v>29</v>
      </c>
      <c r="H73" s="5" t="s">
        <v>30</v>
      </c>
    </row>
    <row r="74" spans="1:14" ht="15.75" customHeight="1">
      <c r="A74" s="7" t="s">
        <v>31</v>
      </c>
      <c r="C74" s="33">
        <v>329.97699999999998</v>
      </c>
      <c r="D74" s="34">
        <v>343.87200000000001</v>
      </c>
      <c r="E74" s="34">
        <v>369.92399999999998</v>
      </c>
      <c r="F74" s="34">
        <v>411.32600000000002</v>
      </c>
      <c r="G74" s="35">
        <v>440.48200000000003</v>
      </c>
      <c r="H74" s="36">
        <v>561.68100000000004</v>
      </c>
    </row>
    <row r="75" spans="1:14" ht="15.75" customHeight="1">
      <c r="A75" s="8" t="s">
        <v>32</v>
      </c>
      <c r="C75" s="37">
        <v>293.596</v>
      </c>
      <c r="D75" s="31">
        <v>339.73500000000001</v>
      </c>
      <c r="E75" s="31">
        <v>384.06700000000001</v>
      </c>
      <c r="F75" s="31">
        <v>454.19900000000001</v>
      </c>
      <c r="G75" s="32">
        <v>466.73099999999999</v>
      </c>
      <c r="H75" s="38">
        <v>503.20699999999999</v>
      </c>
    </row>
    <row r="76" spans="1:14" ht="15.75" customHeight="1">
      <c r="A76" s="10" t="s">
        <v>33</v>
      </c>
      <c r="C76" s="39">
        <v>447.28199999999998</v>
      </c>
      <c r="D76" s="31">
        <v>457.541</v>
      </c>
      <c r="E76" s="31">
        <v>498.72899999999998</v>
      </c>
      <c r="F76" s="31">
        <v>559.78599999999994</v>
      </c>
      <c r="G76" s="32">
        <v>545.99599999999998</v>
      </c>
      <c r="H76" s="38">
        <v>626.45600000000002</v>
      </c>
      <c r="I76" s="6" t="s">
        <v>34</v>
      </c>
    </row>
    <row r="77" spans="1:14" ht="15.75" customHeight="1">
      <c r="A77" s="8" t="s">
        <v>35</v>
      </c>
      <c r="C77" s="37">
        <v>311.58800000000002</v>
      </c>
      <c r="D77" s="31">
        <v>368.88099999999997</v>
      </c>
      <c r="E77" s="31">
        <v>403.64100000000002</v>
      </c>
      <c r="F77" s="31">
        <v>501.83800000000002</v>
      </c>
      <c r="G77" s="32">
        <v>469.93200000000002</v>
      </c>
      <c r="H77" s="38">
        <v>820.05600000000004</v>
      </c>
    </row>
    <row r="78" spans="1:14" ht="15.75" customHeight="1">
      <c r="A78" s="7" t="s">
        <v>36</v>
      </c>
      <c r="C78" s="37">
        <v>304.31900000000002</v>
      </c>
      <c r="D78" s="31">
        <v>352.49799999999999</v>
      </c>
      <c r="E78" s="31">
        <v>332.11200000000002</v>
      </c>
      <c r="F78" s="31">
        <v>459.77</v>
      </c>
      <c r="G78" s="32">
        <v>505.738</v>
      </c>
      <c r="H78" s="38">
        <v>560.57000000000005</v>
      </c>
    </row>
    <row r="79" spans="1:14" ht="15.75" customHeight="1">
      <c r="A79" s="8" t="s">
        <v>37</v>
      </c>
      <c r="C79" s="37">
        <v>359.63900000000001</v>
      </c>
      <c r="D79" s="31">
        <v>403.48500000000001</v>
      </c>
      <c r="E79" s="31">
        <v>423.02300000000002</v>
      </c>
      <c r="F79" s="31">
        <v>404.86500000000001</v>
      </c>
      <c r="G79" s="32">
        <v>452.005</v>
      </c>
      <c r="H79" s="38">
        <v>537.971</v>
      </c>
    </row>
    <row r="80" spans="1:14" ht="15.75" customHeight="1">
      <c r="A80" s="7" t="s">
        <v>38</v>
      </c>
      <c r="C80" s="37">
        <v>315.97199999999998</v>
      </c>
      <c r="D80" s="31">
        <v>377.37200000000001</v>
      </c>
      <c r="E80" s="31">
        <v>345.41699999999997</v>
      </c>
      <c r="F80" s="31">
        <v>391.10399999999998</v>
      </c>
      <c r="G80" s="32">
        <v>439.39600000000002</v>
      </c>
      <c r="H80" s="38">
        <v>598.255</v>
      </c>
      <c r="L80" s="6" t="s">
        <v>12</v>
      </c>
      <c r="M80" t="s">
        <v>44</v>
      </c>
      <c r="N80" t="s">
        <v>45</v>
      </c>
    </row>
    <row r="81" spans="1:14" ht="15.75" customHeight="1">
      <c r="A81" s="11" t="s">
        <v>39</v>
      </c>
      <c r="C81" s="39">
        <v>461.899</v>
      </c>
      <c r="D81" s="31">
        <v>476.6</v>
      </c>
      <c r="E81" s="31">
        <v>549.31500000000005</v>
      </c>
      <c r="F81" s="31">
        <v>617.59</v>
      </c>
      <c r="G81" s="32">
        <v>572.19000000000005</v>
      </c>
      <c r="H81" s="38">
        <v>606.63499999999999</v>
      </c>
      <c r="I81" s="6" t="s">
        <v>34</v>
      </c>
      <c r="L81" s="6">
        <v>2</v>
      </c>
      <c r="M81">
        <v>397.6825</v>
      </c>
      <c r="N81">
        <v>88.359357657844711</v>
      </c>
    </row>
    <row r="82" spans="1:14" ht="15.75" customHeight="1">
      <c r="A82" s="7" t="s">
        <v>40</v>
      </c>
      <c r="C82" s="37">
        <v>285.90899999999999</v>
      </c>
      <c r="D82" s="31">
        <v>324.11500000000001</v>
      </c>
      <c r="E82" s="31">
        <v>374.32799999999997</v>
      </c>
      <c r="F82" s="31">
        <v>511.53800000000001</v>
      </c>
      <c r="G82" s="32">
        <v>493.03899999999999</v>
      </c>
      <c r="H82" s="38">
        <v>559.36400000000003</v>
      </c>
      <c r="L82" s="6">
        <v>3</v>
      </c>
      <c r="M82">
        <v>423.36942307692306</v>
      </c>
      <c r="N82">
        <v>74.653976099427524</v>
      </c>
    </row>
    <row r="83" spans="1:14" ht="15.75" customHeight="1">
      <c r="A83" s="8" t="s">
        <v>41</v>
      </c>
      <c r="C83" s="37">
        <v>306.45999999999998</v>
      </c>
      <c r="D83" s="31">
        <v>362.02100000000002</v>
      </c>
      <c r="E83" s="31">
        <v>422.01900000000001</v>
      </c>
      <c r="F83" s="31">
        <v>450.45499999999998</v>
      </c>
      <c r="G83" s="32">
        <v>499.72899999999998</v>
      </c>
      <c r="H83" s="38">
        <v>508.12900000000002</v>
      </c>
      <c r="L83" s="6">
        <v>4</v>
      </c>
      <c r="M83">
        <v>440.57759090909093</v>
      </c>
      <c r="N83">
        <v>70.313251429150995</v>
      </c>
    </row>
    <row r="84" spans="1:14" ht="15.75" customHeight="1">
      <c r="A84" s="7" t="s">
        <v>42</v>
      </c>
      <c r="C84" s="37">
        <v>291.31200000000001</v>
      </c>
      <c r="D84" s="31">
        <v>341.88499999999999</v>
      </c>
      <c r="E84" s="31">
        <v>355.11399999999998</v>
      </c>
      <c r="F84" s="31">
        <v>435.63200000000001</v>
      </c>
      <c r="G84" s="32">
        <v>460.96</v>
      </c>
      <c r="H84" s="38">
        <v>594.54200000000003</v>
      </c>
      <c r="L84" s="6">
        <v>5</v>
      </c>
      <c r="M84">
        <v>473.34072222222221</v>
      </c>
      <c r="N84">
        <v>52.968281134374649</v>
      </c>
    </row>
    <row r="85" spans="1:14" ht="15.75" customHeight="1" thickBot="1">
      <c r="A85" s="8" t="s">
        <v>43</v>
      </c>
      <c r="C85" s="40">
        <v>309.94099999999997</v>
      </c>
      <c r="D85" s="41">
        <v>359.21800000000002</v>
      </c>
      <c r="E85" s="41">
        <v>386.03100000000001</v>
      </c>
      <c r="F85" s="41">
        <v>427.62900000000002</v>
      </c>
      <c r="G85" s="42">
        <v>456.09699999999998</v>
      </c>
      <c r="H85" s="43">
        <v>499.91699999999997</v>
      </c>
      <c r="L85" s="6">
        <v>6</v>
      </c>
      <c r="M85">
        <v>489.0043571428572</v>
      </c>
      <c r="N85">
        <v>44.633912847670075</v>
      </c>
    </row>
    <row r="86" spans="1:14" ht="15.75" customHeight="1">
      <c r="L86" s="6">
        <v>7</v>
      </c>
      <c r="M86">
        <v>574.36920000000009</v>
      </c>
      <c r="N86">
        <v>93.235557842368735</v>
      </c>
    </row>
    <row r="87" spans="1:14" ht="15.75" customHeight="1">
      <c r="A87" s="6" t="s">
        <v>44</v>
      </c>
      <c r="B87" s="6">
        <f>AVERAGE(C74:C75,C77:C80,C82:Z85)</f>
        <v>333.74610749670762</v>
      </c>
      <c r="C87" s="6">
        <f t="shared" ref="C87:H87" si="4">AVERAGE(C74:C75,C77:C80,C82:Z85)</f>
        <v>333.74610749670762</v>
      </c>
      <c r="D87" s="6">
        <f t="shared" si="4"/>
        <v>344.59122407530839</v>
      </c>
      <c r="E87" s="6">
        <f t="shared" si="4"/>
        <v>346.45789749593285</v>
      </c>
      <c r="F87" s="6">
        <f t="shared" si="4"/>
        <v>353.56648382872396</v>
      </c>
      <c r="G87" s="6">
        <f t="shared" si="4"/>
        <v>343.57394287929679</v>
      </c>
      <c r="H87" s="6">
        <f t="shared" si="4"/>
        <v>355.93425067553261</v>
      </c>
    </row>
    <row r="88" spans="1:14" ht="15.75" customHeight="1">
      <c r="A88" s="6" t="s">
        <v>45</v>
      </c>
      <c r="B88" s="6">
        <f>STDEV(C74:C75,C77:C80,C82:Z85)</f>
        <v>167.08778972255735</v>
      </c>
      <c r="C88" s="6">
        <f t="shared" ref="C88:H88" si="5">STDEV(C74:C75,C77:C80,C82:Z85)</f>
        <v>167.08778972255735</v>
      </c>
      <c r="D88" s="6">
        <f t="shared" si="5"/>
        <v>175.47645673364295</v>
      </c>
      <c r="E88" s="6">
        <f t="shared" si="5"/>
        <v>186.27252398434419</v>
      </c>
      <c r="F88" s="6">
        <f t="shared" si="5"/>
        <v>201.91087055751348</v>
      </c>
      <c r="G88" s="6">
        <f t="shared" si="5"/>
        <v>215.07772044276754</v>
      </c>
      <c r="H88" s="6">
        <f t="shared" si="5"/>
        <v>262.04337896958532</v>
      </c>
    </row>
    <row r="90" spans="1:14" ht="15.75" customHeight="1">
      <c r="A90" s="6" t="s">
        <v>46</v>
      </c>
    </row>
    <row r="96" spans="1:14" ht="15.75" customHeight="1" thickBot="1"/>
    <row r="97" spans="1:17" ht="15.75" customHeight="1" thickBot="1">
      <c r="A97" s="1" t="s">
        <v>0</v>
      </c>
      <c r="B97" s="2" t="s">
        <v>1</v>
      </c>
      <c r="C97" s="3" t="s">
        <v>25</v>
      </c>
      <c r="D97" s="3" t="s">
        <v>26</v>
      </c>
      <c r="E97" s="4" t="s">
        <v>27</v>
      </c>
      <c r="F97" s="4" t="s">
        <v>28</v>
      </c>
      <c r="G97" s="3" t="s">
        <v>29</v>
      </c>
      <c r="H97" s="5" t="s">
        <v>30</v>
      </c>
    </row>
    <row r="98" spans="1:17" ht="15.75" customHeight="1">
      <c r="A98" s="7" t="s">
        <v>47</v>
      </c>
      <c r="C98" s="33">
        <v>528.88499999999999</v>
      </c>
      <c r="D98" s="44">
        <v>592.50199999999995</v>
      </c>
      <c r="E98" s="35">
        <v>621.44600000000003</v>
      </c>
      <c r="F98" s="35">
        <v>636.43399999999997</v>
      </c>
      <c r="G98" s="35">
        <v>790.77300000000002</v>
      </c>
      <c r="H98" s="36">
        <v>817.32600000000002</v>
      </c>
    </row>
    <row r="99" spans="1:17" ht="15.75" customHeight="1">
      <c r="A99" s="8" t="s">
        <v>48</v>
      </c>
      <c r="C99" s="37">
        <v>535.45600000000002</v>
      </c>
      <c r="D99" s="18">
        <v>610.35299999999995</v>
      </c>
      <c r="E99" s="32">
        <v>613.51099999999997</v>
      </c>
      <c r="F99" s="32">
        <v>660.98599999999999</v>
      </c>
      <c r="G99" s="32">
        <v>703.31399999999996</v>
      </c>
      <c r="H99" s="38">
        <v>753.81299999999999</v>
      </c>
    </row>
    <row r="100" spans="1:17" ht="15.75" customHeight="1">
      <c r="A100" s="7" t="s">
        <v>49</v>
      </c>
      <c r="C100" s="37">
        <v>552.64800000000002</v>
      </c>
      <c r="D100" s="18">
        <v>571.81899999999996</v>
      </c>
      <c r="E100" s="32">
        <v>692.07799999999997</v>
      </c>
      <c r="F100" s="32">
        <v>792.56899999999996</v>
      </c>
      <c r="G100" s="32">
        <v>851.495</v>
      </c>
      <c r="H100" s="38">
        <v>782.726</v>
      </c>
    </row>
    <row r="101" spans="1:17" ht="15.75" customHeight="1">
      <c r="A101" s="8" t="s">
        <v>50</v>
      </c>
      <c r="C101" s="37">
        <v>531.09299999999996</v>
      </c>
      <c r="D101" s="18">
        <v>556.94600000000003</v>
      </c>
      <c r="E101" s="32">
        <v>678.64</v>
      </c>
      <c r="F101" s="32">
        <v>788.21100000000001</v>
      </c>
      <c r="G101" s="32">
        <v>787.41300000000001</v>
      </c>
      <c r="H101" s="38">
        <v>746.322</v>
      </c>
    </row>
    <row r="102" spans="1:17" ht="15.75" customHeight="1">
      <c r="A102" s="7" t="s">
        <v>51</v>
      </c>
      <c r="C102" s="37">
        <v>537.851</v>
      </c>
      <c r="D102" s="18">
        <v>631.29999999999995</v>
      </c>
      <c r="E102" s="32">
        <v>694.45</v>
      </c>
      <c r="F102" s="32">
        <v>719.26</v>
      </c>
      <c r="G102" s="32">
        <v>694.54600000000005</v>
      </c>
      <c r="H102" s="38">
        <v>832.32100000000003</v>
      </c>
    </row>
    <row r="103" spans="1:17" ht="15.75" customHeight="1">
      <c r="A103" s="8" t="s">
        <v>52</v>
      </c>
      <c r="C103" s="37">
        <v>597.58600000000001</v>
      </c>
      <c r="D103" s="18">
        <v>626.21699999999998</v>
      </c>
      <c r="E103" s="32">
        <v>679.93499999999995</v>
      </c>
      <c r="F103" s="32">
        <v>668.96600000000001</v>
      </c>
      <c r="G103" s="32">
        <v>749.81799999999998</v>
      </c>
      <c r="H103" s="38">
        <v>856.60199999999998</v>
      </c>
    </row>
    <row r="104" spans="1:17" ht="15.75" customHeight="1">
      <c r="A104" s="7" t="s">
        <v>53</v>
      </c>
      <c r="C104" s="37">
        <v>544.19399999999996</v>
      </c>
      <c r="D104" s="18">
        <v>555.27099999999996</v>
      </c>
      <c r="E104" s="32">
        <v>661.43100000000004</v>
      </c>
      <c r="F104" s="32">
        <v>712.71199999999999</v>
      </c>
      <c r="G104" s="32">
        <v>686.23699999999997</v>
      </c>
      <c r="H104" s="38">
        <v>822.70699999999999</v>
      </c>
    </row>
    <row r="105" spans="1:17" ht="15.75" customHeight="1">
      <c r="A105" s="8" t="s">
        <v>54</v>
      </c>
      <c r="C105" s="37">
        <v>537.28599999999994</v>
      </c>
      <c r="D105" s="18">
        <v>601.26400000000001</v>
      </c>
      <c r="E105" s="32">
        <v>635.32000000000005</v>
      </c>
      <c r="F105" s="32">
        <v>667.43499999999995</v>
      </c>
      <c r="G105" s="32">
        <v>713.47799999999995</v>
      </c>
      <c r="H105" s="38">
        <v>761.86099999999999</v>
      </c>
    </row>
    <row r="106" spans="1:17" ht="15.75" customHeight="1">
      <c r="A106" s="7" t="s">
        <v>55</v>
      </c>
      <c r="C106" s="37">
        <v>506.35300000000001</v>
      </c>
      <c r="D106" s="18">
        <v>564.51400000000001</v>
      </c>
      <c r="E106" s="32">
        <v>619.31200000000001</v>
      </c>
      <c r="F106" s="32">
        <v>642.13099999999997</v>
      </c>
      <c r="G106" s="32">
        <v>730.40499999999997</v>
      </c>
      <c r="H106" s="38">
        <v>803.476</v>
      </c>
    </row>
    <row r="107" spans="1:17" ht="15.75" customHeight="1">
      <c r="A107" s="8" t="s">
        <v>56</v>
      </c>
      <c r="C107" s="37">
        <v>494.76900000000001</v>
      </c>
      <c r="D107" s="18">
        <v>548.26900000000001</v>
      </c>
      <c r="E107" s="32">
        <v>650.22799999999995</v>
      </c>
      <c r="F107" s="32">
        <v>738.65800000000002</v>
      </c>
      <c r="G107" s="32">
        <v>740.947</v>
      </c>
      <c r="H107" s="38">
        <v>721.81100000000004</v>
      </c>
    </row>
    <row r="108" spans="1:17" ht="15.75" customHeight="1">
      <c r="A108" s="7" t="s">
        <v>57</v>
      </c>
      <c r="C108" s="37">
        <v>487.79700000000003</v>
      </c>
      <c r="D108" s="18">
        <v>602.17200000000003</v>
      </c>
      <c r="E108" s="32">
        <v>625.06600000000003</v>
      </c>
      <c r="F108" s="32">
        <v>652.97299999999996</v>
      </c>
      <c r="G108" s="32">
        <v>659.09299999999996</v>
      </c>
      <c r="H108" s="38">
        <v>718.71799999999996</v>
      </c>
    </row>
    <row r="109" spans="1:17" ht="15.75" customHeight="1" thickBot="1">
      <c r="A109" s="8" t="s">
        <v>58</v>
      </c>
      <c r="C109" s="40">
        <v>501.55500000000001</v>
      </c>
      <c r="D109" s="45">
        <v>607.51700000000005</v>
      </c>
      <c r="E109" s="42">
        <v>634.79899999999998</v>
      </c>
      <c r="F109" s="42">
        <v>658.24099999999999</v>
      </c>
      <c r="G109" s="42">
        <v>651.10400000000004</v>
      </c>
      <c r="H109" s="43">
        <v>662.12599999999998</v>
      </c>
      <c r="K109" t="s">
        <v>24</v>
      </c>
      <c r="L109">
        <v>529.62275</v>
      </c>
      <c r="M109">
        <v>589.01200000000006</v>
      </c>
      <c r="N109">
        <v>650.51799999999992</v>
      </c>
      <c r="O109">
        <v>694.88133333333337</v>
      </c>
      <c r="P109">
        <v>729.88524999999993</v>
      </c>
      <c r="Q109">
        <v>773.31741666666676</v>
      </c>
    </row>
    <row r="110" spans="1:17" ht="15.75" customHeight="1">
      <c r="K110" t="s">
        <v>14</v>
      </c>
      <c r="L110">
        <v>29.87566071730388</v>
      </c>
      <c r="M110">
        <v>28.648757260053259</v>
      </c>
      <c r="N110">
        <v>29.767313990043135</v>
      </c>
      <c r="O110">
        <v>54.733458034590164</v>
      </c>
      <c r="P110">
        <v>58.521890154842538</v>
      </c>
      <c r="Q110">
        <v>56.431660421269861</v>
      </c>
    </row>
    <row r="111" spans="1:17" ht="15.75" customHeight="1">
      <c r="A111" s="6" t="s">
        <v>24</v>
      </c>
      <c r="C111" s="6">
        <f t="shared" ref="C111:H111" si="6">AVERAGE(C98:C109)</f>
        <v>529.62275</v>
      </c>
      <c r="D111" s="6">
        <f t="shared" si="6"/>
        <v>589.01200000000006</v>
      </c>
      <c r="E111" s="6">
        <f t="shared" si="6"/>
        <v>650.51799999999992</v>
      </c>
      <c r="F111" s="6">
        <f t="shared" si="6"/>
        <v>694.88133333333337</v>
      </c>
      <c r="G111" s="6">
        <f t="shared" si="6"/>
        <v>729.88524999999993</v>
      </c>
      <c r="H111" s="6">
        <f t="shared" si="6"/>
        <v>773.31741666666676</v>
      </c>
    </row>
    <row r="112" spans="1:17" ht="15.75" customHeight="1">
      <c r="A112" s="6" t="s">
        <v>14</v>
      </c>
      <c r="C112" s="6">
        <f t="shared" ref="C112:H112" si="7">STDEV(C98:C109)</f>
        <v>29.87566071730388</v>
      </c>
      <c r="D112" s="6">
        <f t="shared" si="7"/>
        <v>28.648757260053259</v>
      </c>
      <c r="E112" s="6">
        <f t="shared" si="7"/>
        <v>29.767313990043135</v>
      </c>
      <c r="F112" s="6">
        <f t="shared" si="7"/>
        <v>54.733458034590164</v>
      </c>
      <c r="G112" s="6">
        <f t="shared" si="7"/>
        <v>58.521890154842538</v>
      </c>
      <c r="H112" s="6">
        <f t="shared" si="7"/>
        <v>56.431660421269861</v>
      </c>
      <c r="K112" t="s">
        <v>24</v>
      </c>
      <c r="L112" t="s">
        <v>14</v>
      </c>
    </row>
    <row r="113" spans="1:12" ht="15.75" customHeight="1">
      <c r="K113">
        <v>529.62275</v>
      </c>
      <c r="L113">
        <v>29.87566071730388</v>
      </c>
    </row>
    <row r="114" spans="1:12" ht="15.75" customHeight="1">
      <c r="K114">
        <v>589.01200000000006</v>
      </c>
      <c r="L114">
        <v>28.648757260053259</v>
      </c>
    </row>
    <row r="115" spans="1:12" ht="15.75" customHeight="1">
      <c r="K115">
        <v>650.51799999999992</v>
      </c>
      <c r="L115">
        <v>29.767313990043135</v>
      </c>
    </row>
    <row r="116" spans="1:12" ht="15.75" customHeight="1">
      <c r="K116">
        <v>694.88133333333337</v>
      </c>
      <c r="L116">
        <v>54.733458034590164</v>
      </c>
    </row>
    <row r="117" spans="1:12" ht="15.75" customHeight="1">
      <c r="K117">
        <v>729.88524999999993</v>
      </c>
      <c r="L117">
        <v>58.521890154842538</v>
      </c>
    </row>
    <row r="118" spans="1:12" ht="15.75" customHeight="1">
      <c r="K118">
        <v>773.31741666666676</v>
      </c>
      <c r="L118">
        <v>56.431660421269861</v>
      </c>
    </row>
    <row r="122" spans="1:12" ht="15.75" customHeight="1" thickBot="1"/>
    <row r="123" spans="1:12" ht="15.75" customHeight="1" thickBot="1">
      <c r="A123" s="1" t="s">
        <v>0</v>
      </c>
      <c r="B123" s="2" t="s">
        <v>1</v>
      </c>
      <c r="C123" s="3" t="s">
        <v>25</v>
      </c>
      <c r="D123" s="3" t="s">
        <v>26</v>
      </c>
      <c r="E123" s="4" t="s">
        <v>27</v>
      </c>
      <c r="F123" s="4" t="s">
        <v>28</v>
      </c>
      <c r="G123" s="3" t="s">
        <v>29</v>
      </c>
      <c r="H123" s="5" t="s">
        <v>30</v>
      </c>
    </row>
    <row r="124" spans="1:12" ht="15.75" customHeight="1">
      <c r="A124" s="7" t="s">
        <v>59</v>
      </c>
      <c r="C124" s="33">
        <v>684.94799999999998</v>
      </c>
      <c r="D124" s="35">
        <v>720.245</v>
      </c>
      <c r="E124" s="35">
        <v>735.36099999999999</v>
      </c>
      <c r="F124" s="35">
        <v>781.255</v>
      </c>
      <c r="G124" s="44">
        <v>721.69899999999996</v>
      </c>
      <c r="H124" s="36">
        <v>855.09400000000005</v>
      </c>
    </row>
    <row r="125" spans="1:12" ht="15.75" customHeight="1">
      <c r="A125" s="8" t="s">
        <v>60</v>
      </c>
      <c r="C125" s="37">
        <v>654.44299999999998</v>
      </c>
      <c r="D125" s="32">
        <v>749.05700000000002</v>
      </c>
      <c r="E125" s="32">
        <v>836.52800000000002</v>
      </c>
      <c r="F125" s="32">
        <v>839.35900000000004</v>
      </c>
      <c r="G125" s="18">
        <v>864.173</v>
      </c>
      <c r="H125" s="38">
        <v>961.12400000000002</v>
      </c>
    </row>
    <row r="126" spans="1:12" ht="15.75" customHeight="1">
      <c r="A126" s="7" t="s">
        <v>61</v>
      </c>
      <c r="C126" s="37">
        <v>621.87099999999998</v>
      </c>
      <c r="D126" s="32">
        <v>695.37800000000004</v>
      </c>
      <c r="E126" s="32">
        <v>1023.447</v>
      </c>
      <c r="F126" s="32">
        <v>852.471</v>
      </c>
      <c r="G126" s="18">
        <v>896.33199999999999</v>
      </c>
      <c r="H126" s="38">
        <v>947.29399999999998</v>
      </c>
    </row>
    <row r="127" spans="1:12" ht="15.75" customHeight="1">
      <c r="A127" s="8" t="s">
        <v>62</v>
      </c>
      <c r="C127" s="37">
        <v>654.64099999999996</v>
      </c>
      <c r="D127" s="32">
        <v>703.40800000000002</v>
      </c>
      <c r="E127" s="32">
        <v>779.00599999999997</v>
      </c>
      <c r="F127" s="32">
        <v>818.49900000000002</v>
      </c>
      <c r="G127" s="18">
        <v>846.63</v>
      </c>
      <c r="H127" s="38">
        <v>845.58399999999995</v>
      </c>
    </row>
    <row r="128" spans="1:12" ht="15.75" customHeight="1">
      <c r="A128" s="7" t="s">
        <v>63</v>
      </c>
      <c r="C128" s="37">
        <v>714.17700000000002</v>
      </c>
      <c r="D128" s="32">
        <v>790.11400000000003</v>
      </c>
      <c r="E128" s="32">
        <v>813.72299999999996</v>
      </c>
      <c r="F128" s="32">
        <v>959.52499999999998</v>
      </c>
      <c r="G128" s="18">
        <v>875.5</v>
      </c>
      <c r="H128" s="38">
        <v>920.87099999999998</v>
      </c>
    </row>
    <row r="129" spans="1:16" ht="15.75" customHeight="1">
      <c r="A129" s="8" t="s">
        <v>64</v>
      </c>
      <c r="C129" s="37">
        <v>671.16700000000003</v>
      </c>
      <c r="D129" s="32">
        <v>702.47799999999995</v>
      </c>
      <c r="E129" s="32">
        <v>841.154</v>
      </c>
      <c r="F129" s="32">
        <v>832.09100000000001</v>
      </c>
      <c r="G129" s="18">
        <v>940.05</v>
      </c>
      <c r="H129" s="38">
        <v>985.63300000000004</v>
      </c>
    </row>
    <row r="130" spans="1:16" ht="15.75" customHeight="1">
      <c r="A130" s="7" t="s">
        <v>65</v>
      </c>
      <c r="C130" s="37">
        <v>644.21</v>
      </c>
      <c r="D130" s="32">
        <v>673.37400000000002</v>
      </c>
      <c r="E130" s="32">
        <v>728.303</v>
      </c>
      <c r="F130" s="32">
        <v>766.70799999999997</v>
      </c>
      <c r="G130" s="18">
        <v>768.83199999999999</v>
      </c>
      <c r="H130" s="38">
        <v>862.45699999999999</v>
      </c>
    </row>
    <row r="131" spans="1:16" ht="15.75" customHeight="1">
      <c r="A131" s="8" t="s">
        <v>66</v>
      </c>
      <c r="C131" s="37">
        <v>716.41099999999994</v>
      </c>
      <c r="D131" s="32">
        <v>793.30799999999999</v>
      </c>
      <c r="E131" s="32">
        <v>858.41399999999999</v>
      </c>
      <c r="F131" s="32">
        <v>801.99900000000002</v>
      </c>
      <c r="G131" s="18">
        <v>897.26599999999996</v>
      </c>
      <c r="H131" s="38">
        <v>903.85799999999995</v>
      </c>
    </row>
    <row r="132" spans="1:16" ht="15.75" customHeight="1">
      <c r="A132" s="7" t="s">
        <v>67</v>
      </c>
      <c r="C132" s="37">
        <v>726.03800000000001</v>
      </c>
      <c r="D132" s="32">
        <v>723.03300000000002</v>
      </c>
      <c r="E132" s="32">
        <v>743.20600000000002</v>
      </c>
      <c r="F132" s="32">
        <v>830.19399999999996</v>
      </c>
      <c r="G132" s="18">
        <v>910.202</v>
      </c>
      <c r="H132" s="38">
        <v>824.68700000000001</v>
      </c>
    </row>
    <row r="133" spans="1:16" ht="15.75" customHeight="1">
      <c r="A133" s="8" t="s">
        <v>68</v>
      </c>
      <c r="C133" s="37">
        <v>646.17200000000003</v>
      </c>
      <c r="D133" s="32">
        <v>780.89300000000003</v>
      </c>
      <c r="E133" s="32">
        <v>785.91300000000001</v>
      </c>
      <c r="F133" s="32">
        <v>833.90899999999999</v>
      </c>
      <c r="G133" s="18">
        <v>785.48900000000003</v>
      </c>
      <c r="H133" s="38">
        <v>834.31500000000005</v>
      </c>
    </row>
    <row r="134" spans="1:16" ht="15.75" customHeight="1">
      <c r="A134" s="7" t="s">
        <v>69</v>
      </c>
      <c r="C134" s="37">
        <v>611.69899999999996</v>
      </c>
      <c r="D134" s="32">
        <v>696.99800000000005</v>
      </c>
      <c r="E134" s="32">
        <v>698.93200000000002</v>
      </c>
      <c r="F134" s="32">
        <v>709.95899999999995</v>
      </c>
      <c r="G134" s="18">
        <v>835.48599999999999</v>
      </c>
      <c r="H134" s="38">
        <v>867.68600000000004</v>
      </c>
    </row>
    <row r="135" spans="1:16" ht="15.75" customHeight="1" thickBot="1">
      <c r="A135" s="8" t="s">
        <v>70</v>
      </c>
      <c r="C135" s="40">
        <v>646.53700000000003</v>
      </c>
      <c r="D135" s="42">
        <v>752.11699999999996</v>
      </c>
      <c r="E135" s="42">
        <v>770.17600000000004</v>
      </c>
      <c r="F135" s="42">
        <v>777.24599999999998</v>
      </c>
      <c r="G135" s="45">
        <v>819.74400000000003</v>
      </c>
      <c r="H135" s="43">
        <v>813.221</v>
      </c>
    </row>
    <row r="137" spans="1:16" ht="15.75" customHeight="1">
      <c r="A137" s="6" t="s">
        <v>24</v>
      </c>
      <c r="C137" s="6">
        <f t="shared" ref="C137:H137" si="8">AVERAGE(C124:C135)</f>
        <v>666.02616666666677</v>
      </c>
      <c r="D137" s="6">
        <f t="shared" si="8"/>
        <v>731.70024999999998</v>
      </c>
      <c r="E137" s="6">
        <f t="shared" si="8"/>
        <v>801.18025</v>
      </c>
      <c r="F137" s="6">
        <f t="shared" si="8"/>
        <v>816.93458333333319</v>
      </c>
      <c r="G137" s="6">
        <f t="shared" si="8"/>
        <v>846.78358333333347</v>
      </c>
      <c r="H137" s="6">
        <f t="shared" si="8"/>
        <v>885.15199999999993</v>
      </c>
    </row>
    <row r="138" spans="1:16" ht="15.75" customHeight="1">
      <c r="A138" s="6" t="s">
        <v>14</v>
      </c>
      <c r="C138" s="6">
        <f t="shared" ref="C138:H138" si="9">STDEV(C124:C135)</f>
        <v>37.243535736440428</v>
      </c>
      <c r="D138" s="6">
        <f t="shared" si="9"/>
        <v>40.599985302561151</v>
      </c>
      <c r="E138" s="6">
        <f t="shared" si="9"/>
        <v>85.720439020345268</v>
      </c>
      <c r="F138" s="6">
        <f t="shared" si="9"/>
        <v>60.175197760687745</v>
      </c>
      <c r="G138" s="6">
        <f t="shared" si="9"/>
        <v>64.094738655805912</v>
      </c>
      <c r="H138" s="6">
        <f t="shared" si="9"/>
        <v>57.254841343529428</v>
      </c>
    </row>
    <row r="140" spans="1:16" ht="15.75" customHeight="1">
      <c r="J140" t="s">
        <v>24</v>
      </c>
      <c r="K140">
        <v>666.02616666666677</v>
      </c>
      <c r="L140">
        <v>731.70024999999998</v>
      </c>
      <c r="M140">
        <v>801.18025</v>
      </c>
      <c r="N140">
        <v>816.93458333333319</v>
      </c>
      <c r="O140">
        <v>846.78358333333347</v>
      </c>
      <c r="P140">
        <v>885.15199999999993</v>
      </c>
    </row>
    <row r="141" spans="1:16" ht="15.75" customHeight="1">
      <c r="J141" t="s">
        <v>14</v>
      </c>
      <c r="K141">
        <v>37.243535736440428</v>
      </c>
      <c r="L141">
        <v>40.599985302561151</v>
      </c>
      <c r="M141">
        <v>85.720439020345268</v>
      </c>
      <c r="N141">
        <v>60.175197760687745</v>
      </c>
      <c r="O141">
        <v>64.094738655805912</v>
      </c>
      <c r="P141">
        <v>57.254841343529428</v>
      </c>
    </row>
    <row r="143" spans="1:16" ht="15.75" customHeight="1">
      <c r="J143" t="s">
        <v>24</v>
      </c>
      <c r="K143" t="s">
        <v>14</v>
      </c>
    </row>
    <row r="144" spans="1:16" ht="15.75" customHeight="1">
      <c r="J144">
        <v>666.02616666666677</v>
      </c>
      <c r="K144">
        <v>37.243535736440428</v>
      </c>
    </row>
    <row r="145" spans="10:11" ht="15.75" customHeight="1">
      <c r="J145">
        <v>731.70024999999998</v>
      </c>
      <c r="K145">
        <v>40.599985302561151</v>
      </c>
    </row>
    <row r="146" spans="10:11" ht="15.75" customHeight="1">
      <c r="J146">
        <v>801.18025</v>
      </c>
      <c r="K146">
        <v>85.720439020345268</v>
      </c>
    </row>
    <row r="147" spans="10:11" ht="15.75" customHeight="1">
      <c r="J147">
        <v>816.93458333333319</v>
      </c>
      <c r="K147">
        <v>60.175197760687745</v>
      </c>
    </row>
    <row r="148" spans="10:11" ht="15.75" customHeight="1">
      <c r="J148">
        <v>846.78358333333347</v>
      </c>
      <c r="K148">
        <v>64.094738655805912</v>
      </c>
    </row>
    <row r="149" spans="10:11" ht="15.75" customHeight="1">
      <c r="J149">
        <v>885.15199999999993</v>
      </c>
      <c r="K149">
        <v>57.254841343529428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500 cellswell</vt:lpstr>
      <vt:lpstr>1000 cellswell</vt:lpstr>
      <vt:lpstr>5000 cellswell</vt:lpstr>
      <vt:lpstr>10000 cellswell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Stenning</cp:lastModifiedBy>
  <dcterms:created xsi:type="dcterms:W3CDTF">2024-05-21T15:45:37Z</dcterms:created>
  <dcterms:modified xsi:type="dcterms:W3CDTF">2025-09-29T10:01:59Z</dcterms:modified>
</cp:coreProperties>
</file>