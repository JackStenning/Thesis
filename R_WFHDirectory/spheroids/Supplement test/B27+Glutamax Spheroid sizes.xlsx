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ps558\OneDrive - University of York\Desktop\R_WorkingDirectory\R_WFHDirectory\spheroids\Initial seeding\"/>
    </mc:Choice>
  </mc:AlternateContent>
  <xr:revisionPtr revIDLastSave="0" documentId="13_ncr:1_{840E53BC-C702-4923-9DD3-372630189D4D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500 cellswell + sup" sheetId="1" r:id="rId1"/>
    <sheet name="1000 cellswell + sup" sheetId="3" r:id="rId2"/>
    <sheet name="500 cellswell Red" sheetId="4" r:id="rId3"/>
    <sheet name="1000 cellswell Red" sheetId="5" r:id="rId4"/>
    <sheet name="500 cellswell Clear" sheetId="6" r:id="rId5"/>
    <sheet name="1000 cellswell Clear" sheetId="7" r:id="rId6"/>
    <sheet name="tO PRINT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2" l="1"/>
  <c r="T2" i="2"/>
  <c r="P2" i="2"/>
  <c r="L2" i="2"/>
  <c r="H2" i="2"/>
  <c r="D2" i="2"/>
  <c r="P26" i="1"/>
</calcChain>
</file>

<file path=xl/sharedStrings.xml><?xml version="1.0" encoding="utf-8"?>
<sst xmlns="http://schemas.openxmlformats.org/spreadsheetml/2006/main" count="523" uniqueCount="107">
  <si>
    <t>Condition</t>
  </si>
  <si>
    <t>Well ID</t>
  </si>
  <si>
    <t>Day 7 size (µM)</t>
  </si>
  <si>
    <t>Average size (µM)</t>
  </si>
  <si>
    <t>Clear media + 10% FBS + B27 + Glutamax
500 cells/well</t>
  </si>
  <si>
    <t>B1</t>
  </si>
  <si>
    <t>Red media + 10% FBS 
500 cells/well</t>
  </si>
  <si>
    <t>A1</t>
  </si>
  <si>
    <t>Clear media + 10% FBS 
500 cells/well</t>
  </si>
  <si>
    <t>E1</t>
  </si>
  <si>
    <t>B2</t>
  </si>
  <si>
    <t>A2</t>
  </si>
  <si>
    <t>E2</t>
  </si>
  <si>
    <t>B3</t>
  </si>
  <si>
    <t>A3</t>
  </si>
  <si>
    <t>E3</t>
  </si>
  <si>
    <t>B4</t>
  </si>
  <si>
    <t>A4</t>
  </si>
  <si>
    <t>E4</t>
  </si>
  <si>
    <t>B5</t>
  </si>
  <si>
    <t>A5</t>
  </si>
  <si>
    <t>E5</t>
  </si>
  <si>
    <t>B6</t>
  </si>
  <si>
    <t>A6</t>
  </si>
  <si>
    <t>N/A</t>
  </si>
  <si>
    <t>E6</t>
  </si>
  <si>
    <t>B7</t>
  </si>
  <si>
    <t>A7</t>
  </si>
  <si>
    <t>E7</t>
  </si>
  <si>
    <t>B8</t>
  </si>
  <si>
    <t>A8</t>
  </si>
  <si>
    <t>E8</t>
  </si>
  <si>
    <t>B9</t>
  </si>
  <si>
    <t>A9</t>
  </si>
  <si>
    <t>E9</t>
  </si>
  <si>
    <t>B10</t>
  </si>
  <si>
    <t>A10</t>
  </si>
  <si>
    <t>E10</t>
  </si>
  <si>
    <t>B11</t>
  </si>
  <si>
    <t>A11</t>
  </si>
  <si>
    <t>E11</t>
  </si>
  <si>
    <t>B12</t>
  </si>
  <si>
    <t>A12</t>
  </si>
  <si>
    <t>E12</t>
  </si>
  <si>
    <t>C1</t>
  </si>
  <si>
    <t>F1</t>
  </si>
  <si>
    <t>C2</t>
  </si>
  <si>
    <t>F2</t>
  </si>
  <si>
    <t>C3</t>
  </si>
  <si>
    <t>F3</t>
  </si>
  <si>
    <t>C4</t>
  </si>
  <si>
    <t>F4</t>
  </si>
  <si>
    <t>C5</t>
  </si>
  <si>
    <t>F5</t>
  </si>
  <si>
    <t>C6</t>
  </si>
  <si>
    <t>F6</t>
  </si>
  <si>
    <t>C7</t>
  </si>
  <si>
    <t>F7</t>
  </si>
  <si>
    <t>C8</t>
  </si>
  <si>
    <t>F8</t>
  </si>
  <si>
    <t>C9</t>
  </si>
  <si>
    <t>F9</t>
  </si>
  <si>
    <t>C10</t>
  </si>
  <si>
    <t>F10</t>
  </si>
  <si>
    <t>C11</t>
  </si>
  <si>
    <t>F11</t>
  </si>
  <si>
    <t>C12</t>
  </si>
  <si>
    <t>F12</t>
  </si>
  <si>
    <t>Clear media + 10% FBS + B27 + Glutamax
1000 cells/well</t>
  </si>
  <si>
    <t>Red media + 10% FBS 
1000 cells/well</t>
  </si>
  <si>
    <t>Clear media + 10% FBS 
1000 cells/well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</si>
  <si>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</si>
  <si>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</si>
  <si>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</si>
  <si>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</si>
  <si>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</si>
  <si>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</si>
  <si>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</si>
  <si>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</si>
  <si>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</si>
  <si>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</si>
  <si>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</si>
  <si>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</si>
  <si>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D1</t>
  </si>
  <si>
    <t>H1</t>
  </si>
  <si>
    <t>D2</t>
  </si>
  <si>
    <t>H2</t>
  </si>
  <si>
    <t>D3</t>
  </si>
  <si>
    <t>H3</t>
  </si>
  <si>
    <t>D4</t>
  </si>
  <si>
    <t>H4</t>
  </si>
  <si>
    <t>D5</t>
  </si>
  <si>
    <t>H5</t>
  </si>
  <si>
    <t>D6</t>
  </si>
  <si>
    <t>H6</t>
  </si>
  <si>
    <t>D7</t>
  </si>
  <si>
    <t>H7</t>
  </si>
  <si>
    <t>D8</t>
  </si>
  <si>
    <t>H8</t>
  </si>
  <si>
    <t>D9</t>
  </si>
  <si>
    <t>H9</t>
  </si>
  <si>
    <t>D10</t>
  </si>
  <si>
    <t>H10</t>
  </si>
  <si>
    <t>D11</t>
  </si>
  <si>
    <t>H11</t>
  </si>
  <si>
    <t>D12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</si>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</sst>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rgb="FF000000"/>
      <name val="Calibri"/>
    </font>
    <font>
      <sz val="10"/>
      <name val="Arial"/>
    </font>
    <font>
      <b/>
      <sz val="10"/>
      <color theme="1"/>
      <name val="Arial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2" borderId="3" xfId="0" applyFont="1" applyFill="1" applyBorder="1" applyAlignment="1">
      <alignment horizontal="left"/>
    </xf>
    <xf numFmtId="0" fontId="1" fillId="0" borderId="4" xfId="0" applyFont="1" applyBorder="1"/>
    <xf numFmtId="0" fontId="1" fillId="0" borderId="6" xfId="0" applyFont="1" applyBorder="1"/>
    <xf numFmtId="0" fontId="3" fillId="0" borderId="7" xfId="0" applyFont="1" applyBorder="1" applyAlignment="1">
      <alignment horizontal="right"/>
    </xf>
    <xf numFmtId="0" fontId="1" fillId="0" borderId="8" xfId="0" applyFont="1" applyBorder="1"/>
    <xf numFmtId="0" fontId="1" fillId="0" borderId="10" xfId="0" applyFont="1" applyBorder="1"/>
    <xf numFmtId="0" fontId="3" fillId="0" borderId="11" xfId="0" applyFont="1" applyBorder="1" applyAlignment="1">
      <alignment horizontal="right"/>
    </xf>
    <xf numFmtId="0" fontId="5" fillId="0" borderId="10" xfId="0" applyFont="1" applyBorder="1"/>
    <xf numFmtId="0" fontId="1" fillId="0" borderId="11" xfId="0" applyFont="1" applyBorder="1"/>
    <xf numFmtId="0" fontId="1" fillId="0" borderId="13" xfId="0" applyFont="1" applyBorder="1"/>
    <xf numFmtId="0" fontId="3" fillId="0" borderId="14" xfId="0" applyFont="1" applyBorder="1" applyAlignment="1">
      <alignment horizontal="right"/>
    </xf>
    <xf numFmtId="0" fontId="1" fillId="0" borderId="15" xfId="0" applyFont="1" applyBorder="1"/>
    <xf numFmtId="0" fontId="3" fillId="0" borderId="16" xfId="0" applyFont="1" applyBorder="1" applyAlignment="1">
      <alignment horizontal="right"/>
    </xf>
    <xf numFmtId="0" fontId="1" fillId="0" borderId="18" xfId="0" applyFont="1" applyBorder="1"/>
    <xf numFmtId="0" fontId="3" fillId="0" borderId="19" xfId="0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6" fillId="0" borderId="16" xfId="0" applyFont="1" applyBorder="1" applyAlignment="1">
      <alignment horizontal="right"/>
    </xf>
    <xf numFmtId="0" fontId="1" fillId="2" borderId="0" xfId="0" applyFont="1" applyFill="1"/>
    <xf numFmtId="0" fontId="1" fillId="0" borderId="0" xfId="0" applyFont="1"/>
    <xf numFmtId="0" fontId="1" fillId="0" borderId="20" xfId="0" applyFont="1" applyBorder="1"/>
    <xf numFmtId="0" fontId="1" fillId="0" borderId="5" xfId="0" applyFont="1" applyBorder="1" applyAlignment="1">
      <alignment horizontal="center" vertical="center" wrapText="1"/>
    </xf>
    <xf numFmtId="0" fontId="4" fillId="0" borderId="9" xfId="0" applyFont="1" applyBorder="1"/>
    <xf numFmtId="0" fontId="4" fillId="0" borderId="12" xfId="0" applyFont="1" applyBorder="1"/>
    <xf numFmtId="0" fontId="1" fillId="0" borderId="1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Size of MCF7 spheroid in different media conditions after 7 days in culture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'tO PRINT'!$A$2:$A$25</c:f>
              <c:strCache>
                <c:ptCount val="24"/>
                <c:pt idx="0">
                  <c:v>Clear media + 10% FBS + B27 + Glutamax
500 cells/well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'tO PRINT'!$A$26</c:f>
              <c:numCache>
                <c:formatCode>General</c:formatCode>
                <c:ptCount val="1"/>
                <c:pt idx="0">
                  <c:v>521.80926086956515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E4E-49F3-816B-FFFF62320745}"/>
            </c:ext>
          </c:extLst>
        </c:ser>
        <c:ser>
          <c:idx val="1"/>
          <c:order val="1"/>
          <c:tx>
            <c:strRef>
              <c:f>'tO PRINT'!$E$2:$E$25</c:f>
              <c:strCache>
                <c:ptCount val="24"/>
                <c:pt idx="0">
                  <c:v>Clear media + 10% FBS + B27 + Glutamax
1000 cells/well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'tO PRINT'!$E$26</c:f>
              <c:numCache>
                <c:formatCode>General</c:formatCode>
                <c:ptCount val="1"/>
                <c:pt idx="0">
                  <c:v>598.50947619047622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E4E-49F3-816B-FFFF62320745}"/>
            </c:ext>
          </c:extLst>
        </c:ser>
        <c:ser>
          <c:idx val="2"/>
          <c:order val="2"/>
          <c:tx>
            <c:strRef>
              <c:f>'tO PRINT'!$I$2:$I$25</c:f>
              <c:strCache>
                <c:ptCount val="24"/>
                <c:pt idx="0">
                  <c:v>Red media + 10% FBS 
500 cells/well</c:v>
                </c:pt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'tO PRINT'!$I$26</c:f>
              <c:numCache>
                <c:formatCode>General</c:formatCode>
                <c:ptCount val="1"/>
                <c:pt idx="0">
                  <c:v>413.71150000000006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E4E-49F3-816B-FFFF62320745}"/>
            </c:ext>
          </c:extLst>
        </c:ser>
        <c:ser>
          <c:idx val="3"/>
          <c:order val="3"/>
          <c:tx>
            <c:strRef>
              <c:f>'tO PRINT'!$M$2:$M$25</c:f>
              <c:strCache>
                <c:ptCount val="24"/>
                <c:pt idx="0">
                  <c:v>Red media + 10% FBS 
1000 cells/well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'tO PRINT'!$M$26</c:f>
              <c:numCache>
                <c:formatCode>General</c:formatCode>
                <c:ptCount val="1"/>
                <c:pt idx="0">
                  <c:v>464.1935882352941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E4E-49F3-816B-FFFF62320745}"/>
            </c:ext>
          </c:extLst>
        </c:ser>
        <c:ser>
          <c:idx val="4"/>
          <c:order val="4"/>
          <c:tx>
            <c:strRef>
              <c:f>'tO PRINT'!$Q$2:$Q$25</c:f>
              <c:strCache>
                <c:ptCount val="24"/>
                <c:pt idx="0">
                  <c:v>Clear media + 10% FBS 
500 cells/well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'tO PRINT'!$Q$26</c:f>
              <c:numCache>
                <c:formatCode>General</c:formatCode>
                <c:ptCount val="1"/>
                <c:pt idx="0">
                  <c:v>439.60085714285708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E4E-49F3-816B-FFFF62320745}"/>
            </c:ext>
          </c:extLst>
        </c:ser>
        <c:ser>
          <c:idx val="5"/>
          <c:order val="5"/>
          <c:tx>
            <c:strRef>
              <c:f>'tO PRINT'!$U$2:$U$25</c:f>
              <c:strCache>
                <c:ptCount val="24"/>
                <c:pt idx="0">
                  <c:v>Clear media + 10% FBS 
1000 cells/well</c:v>
                </c:pt>
              </c:strCache>
            </c:strRef>
          </c:tx>
          <c:spPr>
            <a:solidFill>
              <a:srgbClr val="46BDC6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'tO PRINT'!$U$26</c:f>
              <c:numCache>
                <c:formatCode>General</c:formatCode>
                <c:ptCount val="1"/>
                <c:pt idx="0">
                  <c:v>479.60173913043479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E4E-49F3-816B-FFFF62320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467001"/>
        <c:axId val="757793472"/>
      </c:barChart>
      <c:catAx>
        <c:axId val="312467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Media 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7793472"/>
        <c:crosses val="autoZero"/>
        <c:auto val="1"/>
        <c:lblAlgn val="ctr"/>
        <c:lblOffset val="100"/>
        <c:noMultiLvlLbl val="1"/>
      </c:catAx>
      <c:valAx>
        <c:axId val="757793472"/>
        <c:scaling>
          <c:orientation val="minMax"/>
          <c:min val="4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Average size (µM)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24670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752475</xdr:colOff>
      <xdr:row>28</xdr:row>
      <xdr:rowOff>171450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0"/>
  <sheetViews>
    <sheetView workbookViewId="0">
      <selection activeCell="A2" sqref="A2:A25"/>
    </sheetView>
  </sheetViews>
  <sheetFormatPr defaultColWidth="12.5703125" defaultRowHeight="15.75" customHeight="1" x14ac:dyDescent="0.2"/>
  <cols>
    <col min="1" max="1" width="12.85546875" customWidth="1"/>
    <col min="4" max="4" width="14.7109375" customWidth="1"/>
    <col min="10" max="10" width="14.7109375" customWidth="1"/>
    <col min="16" max="16" width="14.7109375" customWidth="1"/>
  </cols>
  <sheetData>
    <row r="1" spans="1:16" ht="14.25" thickTop="1" thickBot="1" x14ac:dyDescent="0.25">
      <c r="A1" s="1" t="s">
        <v>0</v>
      </c>
      <c r="B1" s="2" t="s">
        <v>1</v>
      </c>
      <c r="C1" s="3" t="s">
        <v>2</v>
      </c>
      <c r="D1" s="4"/>
      <c r="G1" s="1"/>
      <c r="H1" s="2"/>
      <c r="I1" s="3"/>
      <c r="J1" s="4"/>
      <c r="P1" s="4"/>
    </row>
    <row r="2" spans="1:16" ht="15.75" customHeight="1" thickTop="1" thickBot="1" x14ac:dyDescent="0.3">
      <c r="A2" s="30" t="s">
        <v>4</v>
      </c>
      <c r="B2" s="5" t="s">
        <v>5</v>
      </c>
      <c r="C2" s="6">
        <v>467.24400000000003</v>
      </c>
      <c r="D2" s="7"/>
      <c r="G2" s="28"/>
      <c r="H2" s="5"/>
      <c r="I2" s="6"/>
      <c r="J2" s="7"/>
      <c r="P2" s="7"/>
    </row>
    <row r="3" spans="1:16" ht="15.75" customHeight="1" thickTop="1" x14ac:dyDescent="0.25">
      <c r="A3" s="30" t="s">
        <v>4</v>
      </c>
      <c r="B3" s="8" t="s">
        <v>10</v>
      </c>
      <c r="C3" s="9">
        <v>528.19600000000003</v>
      </c>
      <c r="G3" s="29"/>
      <c r="H3" s="8"/>
      <c r="I3" s="9"/>
    </row>
    <row r="4" spans="1:16" ht="15.75" customHeight="1" x14ac:dyDescent="0.25">
      <c r="A4" s="30" t="s">
        <v>4</v>
      </c>
      <c r="B4" s="8" t="s">
        <v>13</v>
      </c>
      <c r="C4" s="9">
        <v>564.34100000000001</v>
      </c>
      <c r="G4" s="29"/>
      <c r="H4" s="8"/>
      <c r="I4" s="9"/>
    </row>
    <row r="5" spans="1:16" ht="15.75" customHeight="1" x14ac:dyDescent="0.25">
      <c r="A5" s="30" t="s">
        <v>4</v>
      </c>
      <c r="B5" s="10" t="s">
        <v>16</v>
      </c>
      <c r="C5" s="9">
        <v>526.21400000000006</v>
      </c>
      <c r="G5" s="29"/>
      <c r="H5" s="8"/>
      <c r="I5" s="9"/>
    </row>
    <row r="6" spans="1:16" ht="15.75" customHeight="1" x14ac:dyDescent="0.25">
      <c r="A6" s="30" t="s">
        <v>4</v>
      </c>
      <c r="B6" s="8" t="s">
        <v>19</v>
      </c>
      <c r="C6" s="9">
        <v>522.90599999999995</v>
      </c>
      <c r="G6" s="29"/>
      <c r="H6" s="8"/>
      <c r="I6" s="9"/>
    </row>
    <row r="7" spans="1:16" ht="15.75" customHeight="1" x14ac:dyDescent="0.25">
      <c r="A7" s="30" t="s">
        <v>4</v>
      </c>
      <c r="B7" s="8" t="s">
        <v>22</v>
      </c>
      <c r="C7" s="9">
        <v>518.61900000000003</v>
      </c>
      <c r="G7" s="29"/>
      <c r="H7" s="8"/>
      <c r="I7" s="11"/>
    </row>
    <row r="8" spans="1:16" ht="15.75" customHeight="1" x14ac:dyDescent="0.25">
      <c r="A8" s="30" t="s">
        <v>4</v>
      </c>
      <c r="B8" s="8" t="s">
        <v>26</v>
      </c>
      <c r="C8" s="9">
        <v>542.779</v>
      </c>
      <c r="G8" s="29"/>
      <c r="H8" s="8"/>
      <c r="I8" s="11"/>
    </row>
    <row r="9" spans="1:16" ht="15.75" customHeight="1" x14ac:dyDescent="0.25">
      <c r="A9" s="30" t="s">
        <v>4</v>
      </c>
      <c r="B9" s="8" t="s">
        <v>29</v>
      </c>
      <c r="C9" s="9">
        <v>525.91200000000003</v>
      </c>
      <c r="G9" s="29"/>
      <c r="H9" s="8"/>
      <c r="I9" s="9"/>
    </row>
    <row r="10" spans="1:16" ht="15.75" customHeight="1" x14ac:dyDescent="0.25">
      <c r="A10" s="30" t="s">
        <v>4</v>
      </c>
      <c r="B10" s="10" t="s">
        <v>32</v>
      </c>
      <c r="C10" s="9">
        <v>517.62400000000002</v>
      </c>
      <c r="G10" s="29"/>
      <c r="H10" s="8"/>
      <c r="I10" s="9"/>
    </row>
    <row r="11" spans="1:16" ht="15.75" customHeight="1" x14ac:dyDescent="0.25">
      <c r="A11" s="30" t="s">
        <v>4</v>
      </c>
      <c r="B11" s="10" t="s">
        <v>35</v>
      </c>
      <c r="C11" s="9">
        <v>515.11</v>
      </c>
      <c r="G11" s="29"/>
      <c r="H11" s="8"/>
      <c r="I11" s="11"/>
    </row>
    <row r="12" spans="1:16" ht="15.75" customHeight="1" x14ac:dyDescent="0.25">
      <c r="A12" s="30" t="s">
        <v>4</v>
      </c>
      <c r="B12" s="10" t="s">
        <v>38</v>
      </c>
      <c r="C12" s="9">
        <v>495.43200000000002</v>
      </c>
      <c r="G12" s="29"/>
      <c r="H12" s="8"/>
      <c r="I12" s="11"/>
    </row>
    <row r="13" spans="1:16" ht="15.75" customHeight="1" x14ac:dyDescent="0.25">
      <c r="A13" s="30" t="s">
        <v>4</v>
      </c>
      <c r="B13" s="8" t="s">
        <v>41</v>
      </c>
      <c r="C13" s="9">
        <v>469.45699999999999</v>
      </c>
      <c r="G13" s="29"/>
      <c r="H13" s="8"/>
      <c r="I13" s="9"/>
    </row>
    <row r="14" spans="1:16" ht="15.75" customHeight="1" x14ac:dyDescent="0.25">
      <c r="A14" s="30" t="s">
        <v>4</v>
      </c>
      <c r="B14" s="8" t="s">
        <v>44</v>
      </c>
      <c r="C14" s="9">
        <v>520.72299999999996</v>
      </c>
      <c r="G14" s="29"/>
      <c r="H14" s="8"/>
      <c r="I14" s="9"/>
    </row>
    <row r="15" spans="1:16" ht="15.75" customHeight="1" x14ac:dyDescent="0.25">
      <c r="A15" s="30" t="s">
        <v>4</v>
      </c>
      <c r="B15" s="8" t="s">
        <v>46</v>
      </c>
      <c r="C15" s="9">
        <v>530.62</v>
      </c>
      <c r="G15" s="29"/>
      <c r="H15" s="8"/>
      <c r="I15" s="9"/>
    </row>
    <row r="16" spans="1:16" ht="15.75" customHeight="1" x14ac:dyDescent="0.25">
      <c r="A16" s="30" t="s">
        <v>4</v>
      </c>
      <c r="B16" s="8" t="s">
        <v>48</v>
      </c>
      <c r="C16" s="9">
        <v>532.30200000000002</v>
      </c>
      <c r="G16" s="29"/>
      <c r="H16" s="8"/>
      <c r="I16" s="9"/>
    </row>
    <row r="17" spans="1:16" ht="15.75" customHeight="1" x14ac:dyDescent="0.25">
      <c r="A17" s="30" t="s">
        <v>4</v>
      </c>
      <c r="B17" s="8" t="s">
        <v>50</v>
      </c>
      <c r="C17" s="9">
        <v>539.87</v>
      </c>
      <c r="G17" s="29"/>
      <c r="H17" s="10"/>
      <c r="I17" s="9"/>
    </row>
    <row r="18" spans="1:16" ht="15.75" customHeight="1" x14ac:dyDescent="0.25">
      <c r="A18" s="30" t="s">
        <v>4</v>
      </c>
      <c r="B18" s="8" t="s">
        <v>52</v>
      </c>
      <c r="C18" s="9">
        <v>516.23299999999995</v>
      </c>
      <c r="G18" s="29"/>
      <c r="H18" s="8"/>
      <c r="I18" s="9"/>
    </row>
    <row r="19" spans="1:16" ht="15.75" customHeight="1" x14ac:dyDescent="0.25">
      <c r="A19" s="30" t="s">
        <v>4</v>
      </c>
      <c r="B19" s="8" t="s">
        <v>54</v>
      </c>
      <c r="C19" s="11" t="s">
        <v>24</v>
      </c>
      <c r="G19" s="29"/>
      <c r="H19" s="8"/>
      <c r="I19" s="9"/>
    </row>
    <row r="20" spans="1:16" ht="15.75" customHeight="1" x14ac:dyDescent="0.25">
      <c r="A20" s="30" t="s">
        <v>4</v>
      </c>
      <c r="B20" s="8" t="s">
        <v>56</v>
      </c>
      <c r="C20" s="9">
        <v>529.04</v>
      </c>
      <c r="G20" s="29"/>
      <c r="H20" s="8"/>
      <c r="I20" s="11"/>
    </row>
    <row r="21" spans="1:16" ht="15.75" customHeight="1" x14ac:dyDescent="0.25">
      <c r="A21" s="30" t="s">
        <v>4</v>
      </c>
      <c r="B21" s="8" t="s">
        <v>58</v>
      </c>
      <c r="C21" s="9">
        <v>552.29100000000005</v>
      </c>
      <c r="G21" s="29"/>
      <c r="H21" s="8"/>
      <c r="I21" s="9"/>
    </row>
    <row r="22" spans="1:16" ht="15.75" customHeight="1" x14ac:dyDescent="0.25">
      <c r="A22" s="30" t="s">
        <v>4</v>
      </c>
      <c r="B22" s="8" t="s">
        <v>60</v>
      </c>
      <c r="C22" s="9">
        <v>520.23900000000003</v>
      </c>
      <c r="G22" s="29"/>
      <c r="H22" s="10"/>
      <c r="I22" s="9"/>
    </row>
    <row r="23" spans="1:16" ht="15.75" customHeight="1" x14ac:dyDescent="0.25">
      <c r="A23" s="30" t="s">
        <v>4</v>
      </c>
      <c r="B23" s="8" t="s">
        <v>62</v>
      </c>
      <c r="C23" s="9">
        <v>528.79200000000003</v>
      </c>
      <c r="G23" s="29"/>
      <c r="H23" s="10"/>
      <c r="I23" s="9"/>
    </row>
    <row r="24" spans="1:16" ht="15.75" customHeight="1" thickBot="1" x14ac:dyDescent="0.3">
      <c r="A24" s="30" t="s">
        <v>4</v>
      </c>
      <c r="B24" s="8" t="s">
        <v>64</v>
      </c>
      <c r="C24" s="9">
        <v>523.51099999999997</v>
      </c>
      <c r="G24" s="29"/>
      <c r="H24" s="10"/>
      <c r="I24" s="11"/>
    </row>
    <row r="25" spans="1:16" ht="15.75" customHeight="1" thickTop="1" thickBot="1" x14ac:dyDescent="0.3">
      <c r="A25" s="30" t="s">
        <v>4</v>
      </c>
      <c r="B25" s="12" t="s">
        <v>66</v>
      </c>
      <c r="C25" s="13">
        <v>514.15800000000002</v>
      </c>
      <c r="D25" s="4"/>
      <c r="J25" s="4"/>
      <c r="P25" s="4" t="s">
        <v>3</v>
      </c>
    </row>
    <row r="26" spans="1:16" ht="15.75" customHeight="1" thickTop="1" thickBot="1" x14ac:dyDescent="0.3">
      <c r="A26" s="26"/>
      <c r="B26" s="5"/>
      <c r="C26" s="6"/>
      <c r="D26" s="7"/>
      <c r="J26" s="7"/>
      <c r="P26" s="7">
        <f>AVERAGE('1000 cellswell Clear'!C2:C25)</f>
        <v>479.60173913043479</v>
      </c>
    </row>
    <row r="27" spans="1:16" ht="15.75" customHeight="1" thickTop="1" x14ac:dyDescent="0.25">
      <c r="A27" s="24"/>
      <c r="B27" s="8"/>
      <c r="C27" s="9"/>
    </row>
    <row r="28" spans="1:16" ht="15.75" customHeight="1" x14ac:dyDescent="0.25">
      <c r="A28" s="24"/>
      <c r="B28" s="8"/>
      <c r="C28" s="9"/>
    </row>
    <row r="29" spans="1:16" ht="15.75" customHeight="1" x14ac:dyDescent="0.25">
      <c r="A29" s="24"/>
      <c r="B29" s="8"/>
      <c r="C29" s="9"/>
    </row>
    <row r="30" spans="1:16" ht="15.75" customHeight="1" x14ac:dyDescent="0.25">
      <c r="A30" s="24"/>
      <c r="B30" s="8"/>
      <c r="C30" s="9"/>
    </row>
    <row r="31" spans="1:16" ht="15.75" customHeight="1" x14ac:dyDescent="0.25">
      <c r="A31" s="24"/>
      <c r="B31" s="8"/>
      <c r="C31" s="9"/>
    </row>
    <row r="32" spans="1:16" ht="15.75" customHeight="1" x14ac:dyDescent="0.25">
      <c r="A32" s="24"/>
      <c r="B32" s="8"/>
      <c r="C32" s="9"/>
    </row>
    <row r="33" spans="1:3" ht="15.75" customHeight="1" x14ac:dyDescent="0.2">
      <c r="A33" s="24"/>
      <c r="B33" s="8"/>
      <c r="C33" s="11"/>
    </row>
    <row r="34" spans="1:3" ht="15.75" customHeight="1" x14ac:dyDescent="0.2">
      <c r="A34" s="24"/>
      <c r="B34" s="8"/>
      <c r="C34" s="11"/>
    </row>
    <row r="35" spans="1:3" ht="15.75" customHeight="1" x14ac:dyDescent="0.25">
      <c r="A35" s="24"/>
      <c r="B35" s="8"/>
      <c r="C35" s="9"/>
    </row>
    <row r="36" spans="1:3" ht="15.75" customHeight="1" x14ac:dyDescent="0.2">
      <c r="A36" s="24"/>
      <c r="B36" s="8"/>
      <c r="C36" s="11"/>
    </row>
    <row r="37" spans="1:3" ht="15" x14ac:dyDescent="0.25">
      <c r="A37" s="24"/>
      <c r="B37" s="8"/>
      <c r="C37" s="18"/>
    </row>
    <row r="38" spans="1:3" ht="15" x14ac:dyDescent="0.25">
      <c r="A38" s="24"/>
      <c r="B38" s="8"/>
      <c r="C38" s="18"/>
    </row>
    <row r="39" spans="1:3" ht="15" x14ac:dyDescent="0.25">
      <c r="A39" s="24"/>
      <c r="B39" s="8"/>
      <c r="C39" s="18"/>
    </row>
    <row r="40" spans="1:3" ht="15" x14ac:dyDescent="0.25">
      <c r="A40" s="24"/>
      <c r="B40" s="8"/>
      <c r="C40" s="18"/>
    </row>
    <row r="41" spans="1:3" ht="15" x14ac:dyDescent="0.25">
      <c r="A41" s="24"/>
      <c r="B41" s="8"/>
      <c r="C41" s="18"/>
    </row>
    <row r="42" spans="1:3" ht="15" x14ac:dyDescent="0.25">
      <c r="A42" s="24"/>
      <c r="B42" s="8"/>
      <c r="C42" s="18"/>
    </row>
    <row r="43" spans="1:3" ht="15" x14ac:dyDescent="0.25">
      <c r="A43" s="24"/>
      <c r="B43" s="8"/>
      <c r="C43" s="18"/>
    </row>
    <row r="44" spans="1:3" ht="15" x14ac:dyDescent="0.25">
      <c r="A44" s="24"/>
      <c r="B44" s="8"/>
      <c r="C44" s="18"/>
    </row>
    <row r="45" spans="1:3" ht="15" x14ac:dyDescent="0.25">
      <c r="A45" s="24"/>
      <c r="B45" s="8"/>
      <c r="C45" s="18"/>
    </row>
    <row r="46" spans="1:3" ht="15" x14ac:dyDescent="0.25">
      <c r="A46" s="24"/>
      <c r="B46" s="8"/>
      <c r="C46" s="18"/>
    </row>
    <row r="47" spans="1:3" ht="15" x14ac:dyDescent="0.25">
      <c r="A47" s="24"/>
      <c r="B47" s="8"/>
      <c r="C47" s="18"/>
    </row>
    <row r="48" spans="1:3" ht="15" x14ac:dyDescent="0.25">
      <c r="A48" s="24"/>
      <c r="B48" s="8"/>
      <c r="C48" s="18"/>
    </row>
    <row r="49" spans="1:3" thickBot="1" x14ac:dyDescent="0.3">
      <c r="A49" s="25"/>
      <c r="B49" s="14"/>
      <c r="C49" s="19"/>
    </row>
    <row r="50" spans="1:3" ht="15.75" customHeight="1" thickTop="1" x14ac:dyDescent="0.2"/>
  </sheetData>
  <mergeCells count="1">
    <mergeCell ref="A26:A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B715-BE38-4732-A08A-DAB12003E26A}">
  <dimension ref="A1:C26"/>
  <sheetViews>
    <sheetView workbookViewId="0">
      <selection activeCell="A2" sqref="A2:A25"/>
    </sheetView>
  </sheetViews>
  <sheetFormatPr defaultRowHeight="12.75" x14ac:dyDescent="0.2"/>
  <sheetData>
    <row r="1" spans="1:3" ht="14.25" thickTop="1" thickBot="1" x14ac:dyDescent="0.25">
      <c r="A1" s="1" t="s">
        <v>0</v>
      </c>
      <c r="B1" s="2" t="s">
        <v>1</v>
      </c>
      <c r="C1" s="3" t="s">
        <v>2</v>
      </c>
    </row>
    <row r="2" spans="1:3" ht="15.75" customHeight="1" thickTop="1" thickBot="1" x14ac:dyDescent="0.3">
      <c r="A2" s="31" t="s">
        <v>68</v>
      </c>
      <c r="B2" s="5" t="s">
        <v>45</v>
      </c>
      <c r="C2" s="6">
        <v>576.71</v>
      </c>
    </row>
    <row r="3" spans="1:3" ht="103.5" thickTop="1" thickBot="1" x14ac:dyDescent="0.3">
      <c r="A3" s="31" t="s">
        <v>68</v>
      </c>
      <c r="B3" s="8" t="s">
        <v>47</v>
      </c>
      <c r="C3" s="9">
        <v>614.34500000000003</v>
      </c>
    </row>
    <row r="4" spans="1:3" ht="103.5" thickTop="1" thickBot="1" x14ac:dyDescent="0.3">
      <c r="A4" s="31" t="s">
        <v>68</v>
      </c>
      <c r="B4" s="8" t="s">
        <v>49</v>
      </c>
      <c r="C4" s="9">
        <v>634.63699999999994</v>
      </c>
    </row>
    <row r="5" spans="1:3" ht="103.5" thickTop="1" thickBot="1" x14ac:dyDescent="0.3">
      <c r="A5" s="31" t="s">
        <v>68</v>
      </c>
      <c r="B5" s="8" t="s">
        <v>51</v>
      </c>
      <c r="C5" s="9">
        <v>605.101</v>
      </c>
    </row>
    <row r="6" spans="1:3" ht="103.5" thickTop="1" thickBot="1" x14ac:dyDescent="0.3">
      <c r="A6" s="31" t="s">
        <v>68</v>
      </c>
      <c r="B6" s="8" t="s">
        <v>53</v>
      </c>
      <c r="C6" s="9">
        <v>605.15200000000004</v>
      </c>
    </row>
    <row r="7" spans="1:3" ht="103.5" thickTop="1" thickBot="1" x14ac:dyDescent="0.3">
      <c r="A7" s="31" t="s">
        <v>68</v>
      </c>
      <c r="B7" s="8" t="s">
        <v>55</v>
      </c>
      <c r="C7" s="9">
        <v>618.08299999999997</v>
      </c>
    </row>
    <row r="8" spans="1:3" ht="103.5" thickTop="1" thickBot="1" x14ac:dyDescent="0.3">
      <c r="A8" s="31" t="s">
        <v>68</v>
      </c>
      <c r="B8" s="8" t="s">
        <v>57</v>
      </c>
      <c r="C8" s="9">
        <v>589.846</v>
      </c>
    </row>
    <row r="9" spans="1:3" ht="103.5" thickTop="1" thickBot="1" x14ac:dyDescent="0.25">
      <c r="A9" s="31" t="s">
        <v>68</v>
      </c>
      <c r="B9" s="8" t="s">
        <v>59</v>
      </c>
      <c r="C9" s="11" t="s">
        <v>24</v>
      </c>
    </row>
    <row r="10" spans="1:3" ht="103.5" thickTop="1" thickBot="1" x14ac:dyDescent="0.25">
      <c r="A10" s="31" t="s">
        <v>68</v>
      </c>
      <c r="B10" s="8" t="s">
        <v>61</v>
      </c>
      <c r="C10" s="11" t="s">
        <v>24</v>
      </c>
    </row>
    <row r="11" spans="1:3" ht="103.5" thickTop="1" thickBot="1" x14ac:dyDescent="0.3">
      <c r="A11" s="31" t="s">
        <v>68</v>
      </c>
      <c r="B11" s="8" t="s">
        <v>63</v>
      </c>
      <c r="C11" s="9">
        <v>620.82799999999997</v>
      </c>
    </row>
    <row r="12" spans="1:3" ht="103.5" thickTop="1" thickBot="1" x14ac:dyDescent="0.25">
      <c r="A12" s="31" t="s">
        <v>68</v>
      </c>
      <c r="B12" s="8" t="s">
        <v>65</v>
      </c>
      <c r="C12" s="11" t="s">
        <v>24</v>
      </c>
    </row>
    <row r="13" spans="1:3" ht="103.5" thickTop="1" thickBot="1" x14ac:dyDescent="0.3">
      <c r="A13" s="31" t="s">
        <v>68</v>
      </c>
      <c r="B13" s="8" t="s">
        <v>67</v>
      </c>
      <c r="C13" s="18">
        <v>596.52800000000002</v>
      </c>
    </row>
    <row r="14" spans="1:3" ht="103.5" thickTop="1" thickBot="1" x14ac:dyDescent="0.3">
      <c r="A14" s="31" t="s">
        <v>68</v>
      </c>
      <c r="B14" s="8" t="s">
        <v>71</v>
      </c>
      <c r="C14" s="18">
        <v>555.45600000000002</v>
      </c>
    </row>
    <row r="15" spans="1:3" ht="103.5" thickTop="1" thickBot="1" x14ac:dyDescent="0.3">
      <c r="A15" s="31" t="s">
        <v>68</v>
      </c>
      <c r="B15" s="8" t="s">
        <v>72</v>
      </c>
      <c r="C15" s="18">
        <v>612.93100000000004</v>
      </c>
    </row>
    <row r="16" spans="1:3" ht="103.5" thickTop="1" thickBot="1" x14ac:dyDescent="0.3">
      <c r="A16" s="31" t="s">
        <v>68</v>
      </c>
      <c r="B16" s="8" t="s">
        <v>73</v>
      </c>
      <c r="C16" s="18">
        <v>593.53899999999999</v>
      </c>
    </row>
    <row r="17" spans="1:3" ht="103.5" thickTop="1" thickBot="1" x14ac:dyDescent="0.3">
      <c r="A17" s="31" t="s">
        <v>68</v>
      </c>
      <c r="B17" s="8" t="s">
        <v>74</v>
      </c>
      <c r="C17" s="18">
        <v>625.34699999999998</v>
      </c>
    </row>
    <row r="18" spans="1:3" ht="103.5" thickTop="1" thickBot="1" x14ac:dyDescent="0.3">
      <c r="A18" s="31" t="s">
        <v>68</v>
      </c>
      <c r="B18" s="8" t="s">
        <v>75</v>
      </c>
      <c r="C18" s="18">
        <v>606.38</v>
      </c>
    </row>
    <row r="19" spans="1:3" ht="103.5" thickTop="1" thickBot="1" x14ac:dyDescent="0.3">
      <c r="A19" s="31" t="s">
        <v>68</v>
      </c>
      <c r="B19" s="8" t="s">
        <v>76</v>
      </c>
      <c r="C19" s="18">
        <v>594.33199999999999</v>
      </c>
    </row>
    <row r="20" spans="1:3" ht="103.5" thickTop="1" thickBot="1" x14ac:dyDescent="0.3">
      <c r="A20" s="31" t="s">
        <v>68</v>
      </c>
      <c r="B20" s="8" t="s">
        <v>77</v>
      </c>
      <c r="C20" s="18">
        <v>599.90099999999995</v>
      </c>
    </row>
    <row r="21" spans="1:3" ht="103.5" thickTop="1" thickBot="1" x14ac:dyDescent="0.3">
      <c r="A21" s="31" t="s">
        <v>68</v>
      </c>
      <c r="B21" s="8" t="s">
        <v>78</v>
      </c>
      <c r="C21" s="18">
        <v>601.66899999999998</v>
      </c>
    </row>
    <row r="22" spans="1:3" ht="103.5" thickTop="1" thickBot="1" x14ac:dyDescent="0.3">
      <c r="A22" s="31" t="s">
        <v>68</v>
      </c>
      <c r="B22" s="8" t="s">
        <v>79</v>
      </c>
      <c r="C22" s="18">
        <v>586.447</v>
      </c>
    </row>
    <row r="23" spans="1:3" ht="103.5" thickTop="1" thickBot="1" x14ac:dyDescent="0.3">
      <c r="A23" s="31" t="s">
        <v>68</v>
      </c>
      <c r="B23" s="8" t="s">
        <v>80</v>
      </c>
      <c r="C23" s="18">
        <v>585.03899999999999</v>
      </c>
    </row>
    <row r="24" spans="1:3" ht="103.5" thickTop="1" thickBot="1" x14ac:dyDescent="0.3">
      <c r="A24" s="31" t="s">
        <v>68</v>
      </c>
      <c r="B24" s="8" t="s">
        <v>81</v>
      </c>
      <c r="C24" s="18">
        <v>582.43600000000004</v>
      </c>
    </row>
    <row r="25" spans="1:3" ht="103.5" thickTop="1" thickBot="1" x14ac:dyDescent="0.3">
      <c r="A25" s="31" t="s">
        <v>68</v>
      </c>
      <c r="B25" s="14" t="s">
        <v>82</v>
      </c>
      <c r="C25" s="19">
        <v>563.99199999999996</v>
      </c>
    </row>
    <row r="26" spans="1:3" ht="13.5" thickTop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32C2-3679-4926-9A5C-676956C36D3E}">
  <dimension ref="A1:C26"/>
  <sheetViews>
    <sheetView workbookViewId="0">
      <selection activeCell="A2" sqref="A2:A25"/>
    </sheetView>
  </sheetViews>
  <sheetFormatPr defaultRowHeight="12.75" x14ac:dyDescent="0.2"/>
  <sheetData>
    <row r="1" spans="1:3" ht="14.25" thickTop="1" thickBot="1" x14ac:dyDescent="0.25">
      <c r="A1" s="1" t="s">
        <v>0</v>
      </c>
      <c r="B1" s="2" t="s">
        <v>1</v>
      </c>
      <c r="C1" s="3" t="s">
        <v>2</v>
      </c>
    </row>
    <row r="2" spans="1:3" ht="15.75" customHeight="1" thickTop="1" x14ac:dyDescent="0.25">
      <c r="A2" s="30" t="s">
        <v>6</v>
      </c>
      <c r="B2" s="5" t="s">
        <v>7</v>
      </c>
      <c r="C2" s="6">
        <v>380.149</v>
      </c>
    </row>
    <row r="3" spans="1:3" ht="76.5" x14ac:dyDescent="0.25">
      <c r="A3" s="30" t="s">
        <v>6</v>
      </c>
      <c r="B3" s="8" t="s">
        <v>11</v>
      </c>
      <c r="C3" s="9">
        <v>412.26299999999998</v>
      </c>
    </row>
    <row r="4" spans="1:3" ht="76.5" x14ac:dyDescent="0.25">
      <c r="A4" s="30" t="s">
        <v>6</v>
      </c>
      <c r="B4" s="8" t="s">
        <v>14</v>
      </c>
      <c r="C4" s="9">
        <v>393.69299999999998</v>
      </c>
    </row>
    <row r="5" spans="1:3" ht="76.5" x14ac:dyDescent="0.25">
      <c r="A5" s="30" t="s">
        <v>6</v>
      </c>
      <c r="B5" s="8" t="s">
        <v>17</v>
      </c>
      <c r="C5" s="9">
        <v>393.74799999999999</v>
      </c>
    </row>
    <row r="6" spans="1:3" ht="76.5" x14ac:dyDescent="0.25">
      <c r="A6" s="30" t="s">
        <v>6</v>
      </c>
      <c r="B6" s="8" t="s">
        <v>20</v>
      </c>
      <c r="C6" s="9">
        <v>417.67099999999999</v>
      </c>
    </row>
    <row r="7" spans="1:3" ht="76.5" x14ac:dyDescent="0.2">
      <c r="A7" s="30" t="s">
        <v>6</v>
      </c>
      <c r="B7" s="8" t="s">
        <v>23</v>
      </c>
      <c r="C7" s="11" t="s">
        <v>24</v>
      </c>
    </row>
    <row r="8" spans="1:3" ht="76.5" x14ac:dyDescent="0.2">
      <c r="A8" s="30" t="s">
        <v>6</v>
      </c>
      <c r="B8" s="8" t="s">
        <v>27</v>
      </c>
      <c r="C8" s="11" t="s">
        <v>24</v>
      </c>
    </row>
    <row r="9" spans="1:3" ht="76.5" x14ac:dyDescent="0.25">
      <c r="A9" s="30" t="s">
        <v>6</v>
      </c>
      <c r="B9" s="8" t="s">
        <v>30</v>
      </c>
      <c r="C9" s="9">
        <v>412.45</v>
      </c>
    </row>
    <row r="10" spans="1:3" ht="76.5" x14ac:dyDescent="0.25">
      <c r="A10" s="30" t="s">
        <v>6</v>
      </c>
      <c r="B10" s="8" t="s">
        <v>33</v>
      </c>
      <c r="C10" s="9">
        <v>417.96699999999998</v>
      </c>
    </row>
    <row r="11" spans="1:3" ht="76.5" x14ac:dyDescent="0.2">
      <c r="A11" s="30" t="s">
        <v>6</v>
      </c>
      <c r="B11" s="8" t="s">
        <v>36</v>
      </c>
      <c r="C11" s="11" t="s">
        <v>24</v>
      </c>
    </row>
    <row r="12" spans="1:3" ht="76.5" x14ac:dyDescent="0.2">
      <c r="A12" s="30" t="s">
        <v>6</v>
      </c>
      <c r="B12" s="8" t="s">
        <v>39</v>
      </c>
      <c r="C12" s="11" t="s">
        <v>24</v>
      </c>
    </row>
    <row r="13" spans="1:3" ht="76.5" x14ac:dyDescent="0.25">
      <c r="A13" s="30" t="s">
        <v>6</v>
      </c>
      <c r="B13" s="8" t="s">
        <v>42</v>
      </c>
      <c r="C13" s="9">
        <v>381.928</v>
      </c>
    </row>
    <row r="14" spans="1:3" ht="76.5" x14ac:dyDescent="0.25">
      <c r="A14" s="30" t="s">
        <v>6</v>
      </c>
      <c r="B14" s="8" t="s">
        <v>5</v>
      </c>
      <c r="C14" s="9">
        <v>400.80700000000002</v>
      </c>
    </row>
    <row r="15" spans="1:3" ht="76.5" x14ac:dyDescent="0.25">
      <c r="A15" s="30" t="s">
        <v>6</v>
      </c>
      <c r="B15" s="8" t="s">
        <v>10</v>
      </c>
      <c r="C15" s="9">
        <v>447.58199999999999</v>
      </c>
    </row>
    <row r="16" spans="1:3" ht="76.5" x14ac:dyDescent="0.25">
      <c r="A16" s="30" t="s">
        <v>6</v>
      </c>
      <c r="B16" s="8" t="s">
        <v>13</v>
      </c>
      <c r="C16" s="9">
        <v>467.959</v>
      </c>
    </row>
    <row r="17" spans="1:3" ht="76.5" x14ac:dyDescent="0.25">
      <c r="A17" s="30" t="s">
        <v>6</v>
      </c>
      <c r="B17" s="10" t="s">
        <v>16</v>
      </c>
      <c r="C17" s="9">
        <v>406.49200000000002</v>
      </c>
    </row>
    <row r="18" spans="1:3" ht="76.5" x14ac:dyDescent="0.25">
      <c r="A18" s="30" t="s">
        <v>6</v>
      </c>
      <c r="B18" s="8" t="s">
        <v>19</v>
      </c>
      <c r="C18" s="9">
        <v>430.12299999999999</v>
      </c>
    </row>
    <row r="19" spans="1:3" ht="76.5" x14ac:dyDescent="0.25">
      <c r="A19" s="30" t="s">
        <v>6</v>
      </c>
      <c r="B19" s="8" t="s">
        <v>22</v>
      </c>
      <c r="C19" s="9">
        <v>425.21499999999997</v>
      </c>
    </row>
    <row r="20" spans="1:3" ht="76.5" x14ac:dyDescent="0.2">
      <c r="A20" s="30" t="s">
        <v>6</v>
      </c>
      <c r="B20" s="8" t="s">
        <v>26</v>
      </c>
      <c r="C20" s="11" t="s">
        <v>24</v>
      </c>
    </row>
    <row r="21" spans="1:3" ht="76.5" x14ac:dyDescent="0.25">
      <c r="A21" s="30" t="s">
        <v>6</v>
      </c>
      <c r="B21" s="8" t="s">
        <v>29</v>
      </c>
      <c r="C21" s="9">
        <v>401.05900000000003</v>
      </c>
    </row>
    <row r="22" spans="1:3" ht="76.5" x14ac:dyDescent="0.25">
      <c r="A22" s="30" t="s">
        <v>6</v>
      </c>
      <c r="B22" s="10" t="s">
        <v>32</v>
      </c>
      <c r="C22" s="9">
        <v>424.30599999999998</v>
      </c>
    </row>
    <row r="23" spans="1:3" ht="76.5" x14ac:dyDescent="0.25">
      <c r="A23" s="30" t="s">
        <v>6</v>
      </c>
      <c r="B23" s="10" t="s">
        <v>35</v>
      </c>
      <c r="C23" s="9">
        <v>413.43</v>
      </c>
    </row>
    <row r="24" spans="1:3" ht="76.5" x14ac:dyDescent="0.2">
      <c r="A24" s="30" t="s">
        <v>6</v>
      </c>
      <c r="B24" s="10" t="s">
        <v>38</v>
      </c>
      <c r="C24" s="11" t="s">
        <v>24</v>
      </c>
    </row>
    <row r="25" spans="1:3" ht="77.25" thickBot="1" x14ac:dyDescent="0.3">
      <c r="A25" s="30" t="s">
        <v>6</v>
      </c>
      <c r="B25" s="14" t="s">
        <v>41</v>
      </c>
      <c r="C25" s="15">
        <v>419.96499999999997</v>
      </c>
    </row>
    <row r="26" spans="1:3" ht="13.5" thickTop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DD62-9882-4973-946B-ACA9B71CEB4B}">
  <dimension ref="A1:C26"/>
  <sheetViews>
    <sheetView workbookViewId="0">
      <selection activeCell="A2" sqref="A2:A25"/>
    </sheetView>
  </sheetViews>
  <sheetFormatPr defaultRowHeight="12.75" x14ac:dyDescent="0.2"/>
  <sheetData>
    <row r="1" spans="1:3" ht="13.5" thickTop="1" x14ac:dyDescent="0.2">
      <c r="A1" s="1" t="s">
        <v>0</v>
      </c>
      <c r="B1" s="2" t="s">
        <v>1</v>
      </c>
      <c r="C1" s="3" t="s">
        <v>2</v>
      </c>
    </row>
    <row r="2" spans="1:3" ht="15" customHeight="1" x14ac:dyDescent="0.25">
      <c r="A2" s="30" t="s">
        <v>69</v>
      </c>
      <c r="B2" s="16" t="s">
        <v>44</v>
      </c>
      <c r="C2" s="17">
        <v>459.02</v>
      </c>
    </row>
    <row r="3" spans="1:3" ht="76.5" x14ac:dyDescent="0.25">
      <c r="A3" s="30" t="s">
        <v>69</v>
      </c>
      <c r="B3" s="8" t="s">
        <v>46</v>
      </c>
      <c r="C3" s="9">
        <v>470.78800000000001</v>
      </c>
    </row>
    <row r="4" spans="1:3" ht="76.5" x14ac:dyDescent="0.25">
      <c r="A4" s="30" t="s">
        <v>69</v>
      </c>
      <c r="B4" s="8" t="s">
        <v>48</v>
      </c>
      <c r="C4" s="9">
        <v>485.18400000000003</v>
      </c>
    </row>
    <row r="5" spans="1:3" ht="76.5" x14ac:dyDescent="0.25">
      <c r="A5" s="30" t="s">
        <v>69</v>
      </c>
      <c r="B5" s="8" t="s">
        <v>50</v>
      </c>
      <c r="C5" s="9">
        <v>484.87700000000001</v>
      </c>
    </row>
    <row r="6" spans="1:3" ht="76.5" x14ac:dyDescent="0.25">
      <c r="A6" s="30" t="s">
        <v>69</v>
      </c>
      <c r="B6" s="8" t="s">
        <v>52</v>
      </c>
      <c r="C6" s="9">
        <v>454.91199999999998</v>
      </c>
    </row>
    <row r="7" spans="1:3" ht="76.5" x14ac:dyDescent="0.25">
      <c r="A7" s="30" t="s">
        <v>69</v>
      </c>
      <c r="B7" s="8" t="s">
        <v>54</v>
      </c>
      <c r="C7" s="9">
        <v>458.524</v>
      </c>
    </row>
    <row r="8" spans="1:3" ht="76.5" x14ac:dyDescent="0.2">
      <c r="A8" s="30" t="s">
        <v>69</v>
      </c>
      <c r="B8" s="8" t="s">
        <v>56</v>
      </c>
      <c r="C8" s="11" t="s">
        <v>24</v>
      </c>
    </row>
    <row r="9" spans="1:3" ht="76.5" x14ac:dyDescent="0.25">
      <c r="A9" s="30" t="s">
        <v>69</v>
      </c>
      <c r="B9" s="8" t="s">
        <v>58</v>
      </c>
      <c r="C9" s="9">
        <v>455.59800000000001</v>
      </c>
    </row>
    <row r="10" spans="1:3" ht="76.5" x14ac:dyDescent="0.2">
      <c r="A10" s="30" t="s">
        <v>69</v>
      </c>
      <c r="B10" s="8" t="s">
        <v>60</v>
      </c>
      <c r="C10" s="11" t="s">
        <v>24</v>
      </c>
    </row>
    <row r="11" spans="1:3" ht="76.5" x14ac:dyDescent="0.2">
      <c r="A11" s="30" t="s">
        <v>69</v>
      </c>
      <c r="B11" s="8" t="s">
        <v>62</v>
      </c>
      <c r="C11" s="11" t="s">
        <v>24</v>
      </c>
    </row>
    <row r="12" spans="1:3" ht="76.5" x14ac:dyDescent="0.2">
      <c r="A12" s="30" t="s">
        <v>69</v>
      </c>
      <c r="B12" s="8" t="s">
        <v>64</v>
      </c>
      <c r="C12" s="11" t="s">
        <v>24</v>
      </c>
    </row>
    <row r="13" spans="1:3" ht="76.5" x14ac:dyDescent="0.25">
      <c r="A13" s="30" t="s">
        <v>69</v>
      </c>
      <c r="B13" s="8" t="s">
        <v>66</v>
      </c>
      <c r="C13" s="9">
        <v>472.85300000000001</v>
      </c>
    </row>
    <row r="14" spans="1:3" ht="76.5" x14ac:dyDescent="0.25">
      <c r="A14" s="30" t="s">
        <v>69</v>
      </c>
      <c r="B14" s="8" t="s">
        <v>83</v>
      </c>
      <c r="C14" s="9">
        <v>437.738</v>
      </c>
    </row>
    <row r="15" spans="1:3" ht="76.5" x14ac:dyDescent="0.25">
      <c r="A15" s="30" t="s">
        <v>69</v>
      </c>
      <c r="B15" s="8" t="s">
        <v>85</v>
      </c>
      <c r="C15" s="9">
        <v>461.63600000000002</v>
      </c>
    </row>
    <row r="16" spans="1:3" ht="76.5" x14ac:dyDescent="0.25">
      <c r="A16" s="30" t="s">
        <v>69</v>
      </c>
      <c r="B16" s="8" t="s">
        <v>87</v>
      </c>
      <c r="C16" s="9">
        <v>467.43200000000002</v>
      </c>
    </row>
    <row r="17" spans="1:3" ht="76.5" x14ac:dyDescent="0.25">
      <c r="A17" s="30" t="s">
        <v>69</v>
      </c>
      <c r="B17" s="8" t="s">
        <v>89</v>
      </c>
      <c r="C17" s="9">
        <v>480.411</v>
      </c>
    </row>
    <row r="18" spans="1:3" ht="76.5" x14ac:dyDescent="0.2">
      <c r="A18" s="30" t="s">
        <v>69</v>
      </c>
      <c r="B18" s="8" t="s">
        <v>91</v>
      </c>
      <c r="C18" s="11" t="s">
        <v>24</v>
      </c>
    </row>
    <row r="19" spans="1:3" ht="76.5" x14ac:dyDescent="0.2">
      <c r="A19" s="30" t="s">
        <v>69</v>
      </c>
      <c r="B19" s="8" t="s">
        <v>93</v>
      </c>
      <c r="C19" s="11" t="s">
        <v>24</v>
      </c>
    </row>
    <row r="20" spans="1:3" ht="76.5" x14ac:dyDescent="0.25">
      <c r="A20" s="30" t="s">
        <v>69</v>
      </c>
      <c r="B20" s="8" t="s">
        <v>95</v>
      </c>
      <c r="C20" s="9">
        <v>438.60700000000003</v>
      </c>
    </row>
    <row r="21" spans="1:3" ht="76.5" x14ac:dyDescent="0.25">
      <c r="A21" s="30" t="s">
        <v>69</v>
      </c>
      <c r="B21" s="8" t="s">
        <v>97</v>
      </c>
      <c r="C21" s="9">
        <v>467.66699999999997</v>
      </c>
    </row>
    <row r="22" spans="1:3" ht="76.5" x14ac:dyDescent="0.2">
      <c r="A22" s="30" t="s">
        <v>69</v>
      </c>
      <c r="B22" s="8" t="s">
        <v>99</v>
      </c>
      <c r="C22" s="11" t="s">
        <v>24</v>
      </c>
    </row>
    <row r="23" spans="1:3" ht="76.5" x14ac:dyDescent="0.25">
      <c r="A23" s="30" t="s">
        <v>69</v>
      </c>
      <c r="B23" s="8" t="s">
        <v>101</v>
      </c>
      <c r="C23" s="9">
        <v>471.88099999999997</v>
      </c>
    </row>
    <row r="24" spans="1:3" ht="76.5" x14ac:dyDescent="0.25">
      <c r="A24" s="30" t="s">
        <v>69</v>
      </c>
      <c r="B24" s="8" t="s">
        <v>103</v>
      </c>
      <c r="C24" s="9">
        <v>456.94600000000003</v>
      </c>
    </row>
    <row r="25" spans="1:3" ht="77.25" thickBot="1" x14ac:dyDescent="0.3">
      <c r="A25" s="30" t="s">
        <v>69</v>
      </c>
      <c r="B25" s="14" t="s">
        <v>105</v>
      </c>
      <c r="C25" s="15">
        <v>467.21699999999998</v>
      </c>
    </row>
    <row r="26" spans="1:3" ht="13.5" thickTop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39B6-42A6-4D4E-B9FB-FED14CF16B0C}">
  <dimension ref="A1:C26"/>
  <sheetViews>
    <sheetView workbookViewId="0">
      <selection activeCell="A2" sqref="A2:A25"/>
    </sheetView>
  </sheetViews>
  <sheetFormatPr defaultRowHeight="12.75" x14ac:dyDescent="0.2"/>
  <sheetData>
    <row r="1" spans="1:3" ht="14.25" thickTop="1" thickBot="1" x14ac:dyDescent="0.25">
      <c r="A1" s="1" t="s">
        <v>0</v>
      </c>
      <c r="B1" s="2" t="s">
        <v>1</v>
      </c>
      <c r="C1" s="3" t="s">
        <v>2</v>
      </c>
    </row>
    <row r="2" spans="1:3" ht="15.75" customHeight="1" thickTop="1" x14ac:dyDescent="0.25">
      <c r="A2" s="30" t="s">
        <v>8</v>
      </c>
      <c r="B2" s="5" t="s">
        <v>9</v>
      </c>
      <c r="C2" s="6">
        <v>405.721</v>
      </c>
    </row>
    <row r="3" spans="1:3" ht="76.5" x14ac:dyDescent="0.25">
      <c r="A3" s="30" t="s">
        <v>8</v>
      </c>
      <c r="B3" s="8" t="s">
        <v>12</v>
      </c>
      <c r="C3" s="9">
        <v>451.88299999999998</v>
      </c>
    </row>
    <row r="4" spans="1:3" ht="76.5" x14ac:dyDescent="0.25">
      <c r="A4" s="30" t="s">
        <v>8</v>
      </c>
      <c r="B4" s="8" t="s">
        <v>15</v>
      </c>
      <c r="C4" s="9">
        <v>435.44499999999999</v>
      </c>
    </row>
    <row r="5" spans="1:3" ht="76.5" x14ac:dyDescent="0.25">
      <c r="A5" s="30" t="s">
        <v>8</v>
      </c>
      <c r="B5" s="8" t="s">
        <v>18</v>
      </c>
      <c r="C5" s="9">
        <v>449.334</v>
      </c>
    </row>
    <row r="6" spans="1:3" ht="76.5" x14ac:dyDescent="0.25">
      <c r="A6" s="30" t="s">
        <v>8</v>
      </c>
      <c r="B6" s="8" t="s">
        <v>21</v>
      </c>
      <c r="C6" s="9">
        <v>455.69400000000002</v>
      </c>
    </row>
    <row r="7" spans="1:3" ht="76.5" x14ac:dyDescent="0.25">
      <c r="A7" s="30" t="s">
        <v>8</v>
      </c>
      <c r="B7" s="8" t="s">
        <v>25</v>
      </c>
      <c r="C7" s="9">
        <v>434.17</v>
      </c>
    </row>
    <row r="8" spans="1:3" ht="76.5" x14ac:dyDescent="0.2">
      <c r="A8" s="30" t="s">
        <v>8</v>
      </c>
      <c r="B8" s="8" t="s">
        <v>28</v>
      </c>
      <c r="C8" s="11" t="s">
        <v>24</v>
      </c>
    </row>
    <row r="9" spans="1:3" ht="76.5" x14ac:dyDescent="0.25">
      <c r="A9" s="30" t="s">
        <v>8</v>
      </c>
      <c r="B9" s="8" t="s">
        <v>31</v>
      </c>
      <c r="C9" s="9">
        <v>409.87200000000001</v>
      </c>
    </row>
    <row r="10" spans="1:3" ht="76.5" x14ac:dyDescent="0.25">
      <c r="A10" s="30" t="s">
        <v>8</v>
      </c>
      <c r="B10" s="8" t="s">
        <v>34</v>
      </c>
      <c r="C10" s="9">
        <v>413.12200000000001</v>
      </c>
    </row>
    <row r="11" spans="1:3" ht="76.5" x14ac:dyDescent="0.25">
      <c r="A11" s="30" t="s">
        <v>8</v>
      </c>
      <c r="B11" s="8" t="s">
        <v>37</v>
      </c>
      <c r="C11" s="9">
        <v>446.44</v>
      </c>
    </row>
    <row r="12" spans="1:3" ht="76.5" x14ac:dyDescent="0.25">
      <c r="A12" s="30" t="s">
        <v>8</v>
      </c>
      <c r="B12" s="8" t="s">
        <v>40</v>
      </c>
      <c r="C12" s="9">
        <v>443.73</v>
      </c>
    </row>
    <row r="13" spans="1:3" ht="76.5" x14ac:dyDescent="0.25">
      <c r="A13" s="30" t="s">
        <v>8</v>
      </c>
      <c r="B13" s="8" t="s">
        <v>43</v>
      </c>
      <c r="C13" s="9">
        <v>449.952</v>
      </c>
    </row>
    <row r="14" spans="1:3" ht="76.5" x14ac:dyDescent="0.2">
      <c r="A14" s="30" t="s">
        <v>8</v>
      </c>
      <c r="B14" s="8" t="s">
        <v>45</v>
      </c>
      <c r="C14" s="11" t="s">
        <v>24</v>
      </c>
    </row>
    <row r="15" spans="1:3" ht="76.5" x14ac:dyDescent="0.25">
      <c r="A15" s="30" t="s">
        <v>8</v>
      </c>
      <c r="B15" s="8" t="s">
        <v>47</v>
      </c>
      <c r="C15" s="9">
        <v>449.19499999999999</v>
      </c>
    </row>
    <row r="16" spans="1:3" ht="76.5" x14ac:dyDescent="0.25">
      <c r="A16" s="30" t="s">
        <v>8</v>
      </c>
      <c r="B16" s="8" t="s">
        <v>49</v>
      </c>
      <c r="C16" s="9">
        <v>467.31099999999998</v>
      </c>
    </row>
    <row r="17" spans="1:3" ht="76.5" x14ac:dyDescent="0.25">
      <c r="A17" s="30" t="s">
        <v>8</v>
      </c>
      <c r="B17" s="8" t="s">
        <v>51</v>
      </c>
      <c r="C17" s="9">
        <v>442.904</v>
      </c>
    </row>
    <row r="18" spans="1:3" ht="76.5" x14ac:dyDescent="0.25">
      <c r="A18" s="30" t="s">
        <v>8</v>
      </c>
      <c r="B18" s="8" t="s">
        <v>53</v>
      </c>
      <c r="C18" s="9">
        <v>449.27100000000002</v>
      </c>
    </row>
    <row r="19" spans="1:3" ht="76.5" x14ac:dyDescent="0.25">
      <c r="A19" s="30" t="s">
        <v>8</v>
      </c>
      <c r="B19" s="8" t="s">
        <v>55</v>
      </c>
      <c r="C19" s="9">
        <v>422.78699999999998</v>
      </c>
    </row>
    <row r="20" spans="1:3" ht="76.5" x14ac:dyDescent="0.2">
      <c r="A20" s="30" t="s">
        <v>8</v>
      </c>
      <c r="B20" s="8" t="s">
        <v>57</v>
      </c>
      <c r="C20" s="11" t="s">
        <v>24</v>
      </c>
    </row>
    <row r="21" spans="1:3" ht="76.5" x14ac:dyDescent="0.25">
      <c r="A21" s="30" t="s">
        <v>8</v>
      </c>
      <c r="B21" s="8" t="s">
        <v>59</v>
      </c>
      <c r="C21" s="9">
        <v>423.536</v>
      </c>
    </row>
    <row r="22" spans="1:3" ht="76.5" x14ac:dyDescent="0.25">
      <c r="A22" s="30" t="s">
        <v>8</v>
      </c>
      <c r="B22" s="8" t="s">
        <v>61</v>
      </c>
      <c r="C22" s="9">
        <v>435.78399999999999</v>
      </c>
    </row>
    <row r="23" spans="1:3" ht="76.5" x14ac:dyDescent="0.25">
      <c r="A23" s="30" t="s">
        <v>8</v>
      </c>
      <c r="B23" s="8" t="s">
        <v>63</v>
      </c>
      <c r="C23" s="9">
        <v>443.05700000000002</v>
      </c>
    </row>
    <row r="24" spans="1:3" ht="76.5" x14ac:dyDescent="0.25">
      <c r="A24" s="30" t="s">
        <v>8</v>
      </c>
      <c r="B24" s="8" t="s">
        <v>65</v>
      </c>
      <c r="C24" s="9">
        <v>458</v>
      </c>
    </row>
    <row r="25" spans="1:3" ht="77.25" thickBot="1" x14ac:dyDescent="0.3">
      <c r="A25" s="30" t="s">
        <v>8</v>
      </c>
      <c r="B25" s="14" t="s">
        <v>67</v>
      </c>
      <c r="C25" s="15">
        <v>444.41</v>
      </c>
    </row>
    <row r="26" spans="1:3" ht="13.5" thickTop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CA19-3406-44B7-9DE5-6EC5BF816AF5}">
  <dimension ref="A1:C26"/>
  <sheetViews>
    <sheetView tabSelected="1" workbookViewId="0">
      <selection activeCell="A2" sqref="A2:A25"/>
    </sheetView>
  </sheetViews>
  <sheetFormatPr defaultRowHeight="12.75" x14ac:dyDescent="0.2"/>
  <sheetData>
    <row r="1" spans="1:3" ht="13.5" thickTop="1" x14ac:dyDescent="0.2">
      <c r="A1" s="1" t="s">
        <v>0</v>
      </c>
      <c r="B1" s="2" t="s">
        <v>1</v>
      </c>
      <c r="C1" s="3" t="s">
        <v>2</v>
      </c>
    </row>
    <row r="2" spans="1:3" ht="15" customHeight="1" x14ac:dyDescent="0.25">
      <c r="A2" s="30" t="s">
        <v>70</v>
      </c>
      <c r="B2" s="16" t="s">
        <v>71</v>
      </c>
      <c r="C2" s="17">
        <v>473.16300000000001</v>
      </c>
    </row>
    <row r="3" spans="1:3" ht="76.5" x14ac:dyDescent="0.25">
      <c r="A3" s="30" t="s">
        <v>70</v>
      </c>
      <c r="B3" s="8" t="s">
        <v>72</v>
      </c>
      <c r="C3" s="9">
        <v>492.06200000000001</v>
      </c>
    </row>
    <row r="4" spans="1:3" ht="76.5" x14ac:dyDescent="0.25">
      <c r="A4" s="30" t="s">
        <v>70</v>
      </c>
      <c r="B4" s="8" t="s">
        <v>73</v>
      </c>
      <c r="C4" s="9">
        <v>489.33199999999999</v>
      </c>
    </row>
    <row r="5" spans="1:3" ht="76.5" x14ac:dyDescent="0.25">
      <c r="A5" s="30" t="s">
        <v>70</v>
      </c>
      <c r="B5" s="8" t="s">
        <v>74</v>
      </c>
      <c r="C5" s="9">
        <v>481.56400000000002</v>
      </c>
    </row>
    <row r="6" spans="1:3" ht="76.5" x14ac:dyDescent="0.2">
      <c r="A6" s="30" t="s">
        <v>70</v>
      </c>
      <c r="B6" s="8" t="s">
        <v>75</v>
      </c>
      <c r="C6" s="11" t="s">
        <v>24</v>
      </c>
    </row>
    <row r="7" spans="1:3" ht="76.5" x14ac:dyDescent="0.25">
      <c r="A7" s="30" t="s">
        <v>70</v>
      </c>
      <c r="B7" s="8" t="s">
        <v>76</v>
      </c>
      <c r="C7" s="9">
        <v>469.91800000000001</v>
      </c>
    </row>
    <row r="8" spans="1:3" ht="76.5" x14ac:dyDescent="0.25">
      <c r="A8" s="30" t="s">
        <v>70</v>
      </c>
      <c r="B8" s="8" t="s">
        <v>77</v>
      </c>
      <c r="C8" s="9">
        <v>498.30399999999997</v>
      </c>
    </row>
    <row r="9" spans="1:3" ht="76.5" x14ac:dyDescent="0.25">
      <c r="A9" s="30" t="s">
        <v>70</v>
      </c>
      <c r="B9" s="8" t="s">
        <v>78</v>
      </c>
      <c r="C9" s="9">
        <v>497.85199999999998</v>
      </c>
    </row>
    <row r="10" spans="1:3" ht="76.5" x14ac:dyDescent="0.25">
      <c r="A10" s="30" t="s">
        <v>70</v>
      </c>
      <c r="B10" s="8" t="s">
        <v>79</v>
      </c>
      <c r="C10" s="9">
        <v>495.66199999999998</v>
      </c>
    </row>
    <row r="11" spans="1:3" ht="76.5" x14ac:dyDescent="0.25">
      <c r="A11" s="30" t="s">
        <v>70</v>
      </c>
      <c r="B11" s="8" t="s">
        <v>80</v>
      </c>
      <c r="C11" s="9">
        <v>476.78899999999999</v>
      </c>
    </row>
    <row r="12" spans="1:3" ht="76.5" x14ac:dyDescent="0.25">
      <c r="A12" s="30" t="s">
        <v>70</v>
      </c>
      <c r="B12" s="8" t="s">
        <v>81</v>
      </c>
      <c r="C12" s="9">
        <v>511.89100000000002</v>
      </c>
    </row>
    <row r="13" spans="1:3" ht="76.5" x14ac:dyDescent="0.25">
      <c r="A13" s="30" t="s">
        <v>70</v>
      </c>
      <c r="B13" s="8" t="s">
        <v>82</v>
      </c>
      <c r="C13" s="9">
        <v>451.87</v>
      </c>
    </row>
    <row r="14" spans="1:3" ht="76.5" x14ac:dyDescent="0.25">
      <c r="A14" s="30" t="s">
        <v>70</v>
      </c>
      <c r="B14" s="8" t="s">
        <v>84</v>
      </c>
      <c r="C14" s="9">
        <v>480.91899999999998</v>
      </c>
    </row>
    <row r="15" spans="1:3" ht="76.5" x14ac:dyDescent="0.25">
      <c r="A15" s="30" t="s">
        <v>70</v>
      </c>
      <c r="B15" s="8" t="s">
        <v>86</v>
      </c>
      <c r="C15" s="9">
        <v>482.16500000000002</v>
      </c>
    </row>
    <row r="16" spans="1:3" ht="76.5" x14ac:dyDescent="0.25">
      <c r="A16" s="30" t="s">
        <v>70</v>
      </c>
      <c r="B16" s="8" t="s">
        <v>88</v>
      </c>
      <c r="C16" s="9">
        <v>469.59</v>
      </c>
    </row>
    <row r="17" spans="1:3" ht="76.5" x14ac:dyDescent="0.25">
      <c r="A17" s="30" t="s">
        <v>70</v>
      </c>
      <c r="B17" s="8" t="s">
        <v>90</v>
      </c>
      <c r="C17" s="9">
        <v>484.31</v>
      </c>
    </row>
    <row r="18" spans="1:3" ht="76.5" x14ac:dyDescent="0.25">
      <c r="A18" s="30" t="s">
        <v>70</v>
      </c>
      <c r="B18" s="8" t="s">
        <v>92</v>
      </c>
      <c r="C18" s="9">
        <v>481.87099999999998</v>
      </c>
    </row>
    <row r="19" spans="1:3" ht="76.5" x14ac:dyDescent="0.25">
      <c r="A19" s="30" t="s">
        <v>70</v>
      </c>
      <c r="B19" s="8" t="s">
        <v>94</v>
      </c>
      <c r="C19" s="9">
        <v>483.50900000000001</v>
      </c>
    </row>
    <row r="20" spans="1:3" ht="76.5" x14ac:dyDescent="0.25">
      <c r="A20" s="30" t="s">
        <v>70</v>
      </c>
      <c r="B20" s="8" t="s">
        <v>96</v>
      </c>
      <c r="C20" s="9">
        <v>493.62099999999998</v>
      </c>
    </row>
    <row r="21" spans="1:3" ht="76.5" x14ac:dyDescent="0.25">
      <c r="A21" s="30" t="s">
        <v>70</v>
      </c>
      <c r="B21" s="8" t="s">
        <v>98</v>
      </c>
      <c r="C21" s="9">
        <v>456.67899999999997</v>
      </c>
    </row>
    <row r="22" spans="1:3" ht="76.5" x14ac:dyDescent="0.25">
      <c r="A22" s="30" t="s">
        <v>70</v>
      </c>
      <c r="B22" s="8" t="s">
        <v>100</v>
      </c>
      <c r="C22" s="9">
        <v>468.37400000000002</v>
      </c>
    </row>
    <row r="23" spans="1:3" ht="76.5" x14ac:dyDescent="0.25">
      <c r="A23" s="30" t="s">
        <v>70</v>
      </c>
      <c r="B23" s="8" t="s">
        <v>102</v>
      </c>
      <c r="C23" s="9">
        <v>448.05500000000001</v>
      </c>
    </row>
    <row r="24" spans="1:3" ht="76.5" x14ac:dyDescent="0.25">
      <c r="A24" s="30" t="s">
        <v>70</v>
      </c>
      <c r="B24" s="8" t="s">
        <v>104</v>
      </c>
      <c r="C24" s="9">
        <v>486.94299999999998</v>
      </c>
    </row>
    <row r="25" spans="1:3" ht="77.25" thickBot="1" x14ac:dyDescent="0.3">
      <c r="A25" s="30" t="s">
        <v>70</v>
      </c>
      <c r="B25" s="14" t="s">
        <v>106</v>
      </c>
      <c r="C25" s="15">
        <v>456.39699999999999</v>
      </c>
    </row>
    <row r="26" spans="1:3" ht="13.5" thickTop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26"/>
  <sheetViews>
    <sheetView workbookViewId="0"/>
  </sheetViews>
  <sheetFormatPr defaultColWidth="12.5703125" defaultRowHeight="15.75" customHeight="1" x14ac:dyDescent="0.2"/>
  <cols>
    <col min="1" max="1" width="12.85546875" customWidth="1"/>
    <col min="4" max="4" width="14.7109375" customWidth="1"/>
    <col min="8" max="8" width="14.7109375" customWidth="1"/>
    <col min="10" max="10" width="14.7109375" customWidth="1"/>
    <col min="12" max="12" width="14.7109375" customWidth="1"/>
    <col min="16" max="16" width="14.7109375" customWidth="1"/>
    <col min="20" max="20" width="14.7109375" customWidth="1"/>
    <col min="24" max="24" width="14.7109375" customWidth="1"/>
  </cols>
  <sheetData>
    <row r="1" spans="1:28" x14ac:dyDescent="0.2">
      <c r="A1" s="1" t="s">
        <v>0</v>
      </c>
      <c r="B1" s="2" t="s">
        <v>1</v>
      </c>
      <c r="C1" s="3" t="s">
        <v>2</v>
      </c>
      <c r="D1" s="4" t="s">
        <v>3</v>
      </c>
      <c r="E1" s="1" t="s">
        <v>0</v>
      </c>
      <c r="F1" s="2" t="s">
        <v>1</v>
      </c>
      <c r="G1" s="3" t="s">
        <v>2</v>
      </c>
      <c r="H1" s="4" t="s">
        <v>3</v>
      </c>
      <c r="I1" s="1" t="s">
        <v>0</v>
      </c>
      <c r="J1" s="2" t="s">
        <v>1</v>
      </c>
      <c r="K1" s="3" t="s">
        <v>2</v>
      </c>
      <c r="L1" s="4" t="s">
        <v>3</v>
      </c>
      <c r="M1" s="1" t="s">
        <v>0</v>
      </c>
      <c r="N1" s="2" t="s">
        <v>1</v>
      </c>
      <c r="O1" s="3" t="s">
        <v>2</v>
      </c>
      <c r="P1" s="4" t="s">
        <v>3</v>
      </c>
      <c r="Q1" s="1" t="s">
        <v>0</v>
      </c>
      <c r="R1" s="2" t="s">
        <v>1</v>
      </c>
      <c r="S1" s="3" t="s">
        <v>2</v>
      </c>
      <c r="T1" s="4" t="s">
        <v>3</v>
      </c>
      <c r="U1" s="1" t="s">
        <v>0</v>
      </c>
      <c r="V1" s="2" t="s">
        <v>1</v>
      </c>
      <c r="W1" s="3" t="s">
        <v>2</v>
      </c>
      <c r="X1" s="4" t="s">
        <v>3</v>
      </c>
      <c r="Y1" s="1"/>
      <c r="Z1" s="2"/>
      <c r="AA1" s="3"/>
      <c r="AB1" s="4"/>
    </row>
    <row r="2" spans="1:28" ht="15.75" customHeight="1" x14ac:dyDescent="0.25">
      <c r="A2" s="23" t="s">
        <v>4</v>
      </c>
      <c r="B2" s="5" t="s">
        <v>5</v>
      </c>
      <c r="C2" s="6">
        <v>467.24400000000003</v>
      </c>
      <c r="D2" s="7">
        <f>AVERAGE(C2:C25)</f>
        <v>521.80926086956515</v>
      </c>
      <c r="E2" s="26" t="s">
        <v>68</v>
      </c>
      <c r="F2" s="5" t="s">
        <v>45</v>
      </c>
      <c r="G2" s="6">
        <v>576.71</v>
      </c>
      <c r="H2" s="7">
        <f>AVERAGE(G2:G25)</f>
        <v>598.50947619047622</v>
      </c>
      <c r="I2" s="23" t="s">
        <v>6</v>
      </c>
      <c r="J2" s="5" t="s">
        <v>7</v>
      </c>
      <c r="K2" s="6">
        <v>380.149</v>
      </c>
      <c r="L2" s="7">
        <f>AVERAGE(K2:K25)</f>
        <v>413.71150000000006</v>
      </c>
      <c r="M2" s="27" t="s">
        <v>69</v>
      </c>
      <c r="N2" s="16" t="s">
        <v>44</v>
      </c>
      <c r="O2" s="17">
        <v>459.02</v>
      </c>
      <c r="P2" s="7">
        <f>AVERAGE(O2:O25)</f>
        <v>464.1935882352941</v>
      </c>
      <c r="Q2" s="23" t="s">
        <v>8</v>
      </c>
      <c r="R2" s="5" t="s">
        <v>9</v>
      </c>
      <c r="S2" s="6">
        <v>405.721</v>
      </c>
      <c r="T2" s="7">
        <f>AVERAGE(S2:S25)</f>
        <v>439.60085714285708</v>
      </c>
      <c r="U2" s="27" t="s">
        <v>70</v>
      </c>
      <c r="V2" s="16" t="s">
        <v>71</v>
      </c>
      <c r="W2" s="17">
        <v>473.16300000000001</v>
      </c>
      <c r="X2" s="7">
        <f>AVERAGE(W2:W25)</f>
        <v>479.60173913043479</v>
      </c>
    </row>
    <row r="3" spans="1:28" ht="15.75" customHeight="1" x14ac:dyDescent="0.25">
      <c r="A3" s="24"/>
      <c r="B3" s="8" t="s">
        <v>10</v>
      </c>
      <c r="C3" s="9">
        <v>528.19600000000003</v>
      </c>
      <c r="D3" s="20"/>
      <c r="E3" s="24"/>
      <c r="F3" s="8" t="s">
        <v>47</v>
      </c>
      <c r="G3" s="9">
        <v>614.34500000000003</v>
      </c>
      <c r="I3" s="24"/>
      <c r="J3" s="8" t="s">
        <v>11</v>
      </c>
      <c r="K3" s="9">
        <v>412.26299999999998</v>
      </c>
      <c r="M3" s="24"/>
      <c r="N3" s="8" t="s">
        <v>46</v>
      </c>
      <c r="O3" s="9">
        <v>470.78800000000001</v>
      </c>
      <c r="Q3" s="24"/>
      <c r="R3" s="8" t="s">
        <v>12</v>
      </c>
      <c r="S3" s="9">
        <v>451.88299999999998</v>
      </c>
      <c r="U3" s="24"/>
      <c r="V3" s="8" t="s">
        <v>72</v>
      </c>
      <c r="W3" s="9">
        <v>492.06200000000001</v>
      </c>
    </row>
    <row r="4" spans="1:28" ht="15.75" customHeight="1" x14ac:dyDescent="0.25">
      <c r="A4" s="24"/>
      <c r="B4" s="8" t="s">
        <v>13</v>
      </c>
      <c r="C4" s="9">
        <v>564.34100000000001</v>
      </c>
      <c r="D4" s="20"/>
      <c r="E4" s="24"/>
      <c r="F4" s="8" t="s">
        <v>49</v>
      </c>
      <c r="G4" s="9">
        <v>634.63699999999994</v>
      </c>
      <c r="I4" s="24"/>
      <c r="J4" s="8" t="s">
        <v>14</v>
      </c>
      <c r="K4" s="9">
        <v>393.69299999999998</v>
      </c>
      <c r="M4" s="24"/>
      <c r="N4" s="8" t="s">
        <v>48</v>
      </c>
      <c r="O4" s="9">
        <v>485.18400000000003</v>
      </c>
      <c r="Q4" s="24"/>
      <c r="R4" s="8" t="s">
        <v>15</v>
      </c>
      <c r="S4" s="9">
        <v>435.44499999999999</v>
      </c>
      <c r="U4" s="24"/>
      <c r="V4" s="8" t="s">
        <v>73</v>
      </c>
      <c r="W4" s="9">
        <v>489.33199999999999</v>
      </c>
    </row>
    <row r="5" spans="1:28" ht="15.75" customHeight="1" x14ac:dyDescent="0.25">
      <c r="A5" s="24"/>
      <c r="B5" s="10" t="s">
        <v>16</v>
      </c>
      <c r="C5" s="9">
        <v>526.21400000000006</v>
      </c>
      <c r="D5" s="20"/>
      <c r="E5" s="24"/>
      <c r="F5" s="8" t="s">
        <v>51</v>
      </c>
      <c r="G5" s="9">
        <v>605.101</v>
      </c>
      <c r="I5" s="24"/>
      <c r="J5" s="8" t="s">
        <v>17</v>
      </c>
      <c r="K5" s="9">
        <v>393.74799999999999</v>
      </c>
      <c r="M5" s="24"/>
      <c r="N5" s="8" t="s">
        <v>50</v>
      </c>
      <c r="O5" s="9">
        <v>484.87700000000001</v>
      </c>
      <c r="Q5" s="24"/>
      <c r="R5" s="8" t="s">
        <v>18</v>
      </c>
      <c r="S5" s="9">
        <v>449.334</v>
      </c>
      <c r="U5" s="24"/>
      <c r="V5" s="8" t="s">
        <v>74</v>
      </c>
      <c r="W5" s="9">
        <v>481.56400000000002</v>
      </c>
    </row>
    <row r="6" spans="1:28" ht="15.75" customHeight="1" x14ac:dyDescent="0.25">
      <c r="A6" s="24"/>
      <c r="B6" s="8" t="s">
        <v>19</v>
      </c>
      <c r="C6" s="9">
        <v>522.90599999999995</v>
      </c>
      <c r="D6" s="20"/>
      <c r="E6" s="24"/>
      <c r="F6" s="8" t="s">
        <v>53</v>
      </c>
      <c r="G6" s="9">
        <v>605.15200000000004</v>
      </c>
      <c r="I6" s="24"/>
      <c r="J6" s="8" t="s">
        <v>20</v>
      </c>
      <c r="K6" s="9">
        <v>417.67099999999999</v>
      </c>
      <c r="M6" s="24"/>
      <c r="N6" s="8" t="s">
        <v>52</v>
      </c>
      <c r="O6" s="9">
        <v>454.91199999999998</v>
      </c>
      <c r="Q6" s="24"/>
      <c r="R6" s="8" t="s">
        <v>21</v>
      </c>
      <c r="S6" s="9">
        <v>455.69400000000002</v>
      </c>
      <c r="U6" s="24"/>
      <c r="V6" s="8" t="s">
        <v>75</v>
      </c>
      <c r="W6" s="11" t="s">
        <v>24</v>
      </c>
    </row>
    <row r="7" spans="1:28" ht="15.75" customHeight="1" x14ac:dyDescent="0.25">
      <c r="A7" s="24"/>
      <c r="B7" s="8" t="s">
        <v>22</v>
      </c>
      <c r="C7" s="9">
        <v>518.61900000000003</v>
      </c>
      <c r="D7" s="20"/>
      <c r="E7" s="24"/>
      <c r="F7" s="8" t="s">
        <v>55</v>
      </c>
      <c r="G7" s="9">
        <v>618.08299999999997</v>
      </c>
      <c r="I7" s="24"/>
      <c r="J7" s="8" t="s">
        <v>23</v>
      </c>
      <c r="K7" s="11" t="s">
        <v>24</v>
      </c>
      <c r="M7" s="24"/>
      <c r="N7" s="8" t="s">
        <v>54</v>
      </c>
      <c r="O7" s="9">
        <v>458.524</v>
      </c>
      <c r="Q7" s="24"/>
      <c r="R7" s="8" t="s">
        <v>25</v>
      </c>
      <c r="S7" s="9">
        <v>434.17</v>
      </c>
      <c r="U7" s="24"/>
      <c r="V7" s="8" t="s">
        <v>76</v>
      </c>
      <c r="W7" s="9">
        <v>469.91800000000001</v>
      </c>
    </row>
    <row r="8" spans="1:28" ht="15.75" customHeight="1" x14ac:dyDescent="0.25">
      <c r="A8" s="24"/>
      <c r="B8" s="8" t="s">
        <v>26</v>
      </c>
      <c r="C8" s="9">
        <v>542.779</v>
      </c>
      <c r="D8" s="20"/>
      <c r="E8" s="24"/>
      <c r="F8" s="8" t="s">
        <v>57</v>
      </c>
      <c r="G8" s="9">
        <v>589.846</v>
      </c>
      <c r="I8" s="24"/>
      <c r="J8" s="8" t="s">
        <v>27</v>
      </c>
      <c r="K8" s="11" t="s">
        <v>24</v>
      </c>
      <c r="M8" s="24"/>
      <c r="N8" s="8" t="s">
        <v>56</v>
      </c>
      <c r="O8" s="11" t="s">
        <v>24</v>
      </c>
      <c r="Q8" s="24"/>
      <c r="R8" s="8" t="s">
        <v>28</v>
      </c>
      <c r="S8" s="11" t="s">
        <v>24</v>
      </c>
      <c r="U8" s="24"/>
      <c r="V8" s="8" t="s">
        <v>77</v>
      </c>
      <c r="W8" s="9">
        <v>498.30399999999997</v>
      </c>
    </row>
    <row r="9" spans="1:28" ht="15.75" customHeight="1" x14ac:dyDescent="0.25">
      <c r="A9" s="24"/>
      <c r="B9" s="8" t="s">
        <v>29</v>
      </c>
      <c r="C9" s="9">
        <v>525.91200000000003</v>
      </c>
      <c r="D9" s="20"/>
      <c r="E9" s="24"/>
      <c r="F9" s="8" t="s">
        <v>59</v>
      </c>
      <c r="G9" s="11" t="s">
        <v>24</v>
      </c>
      <c r="I9" s="24"/>
      <c r="J9" s="8" t="s">
        <v>30</v>
      </c>
      <c r="K9" s="9">
        <v>412.45</v>
      </c>
      <c r="M9" s="24"/>
      <c r="N9" s="8" t="s">
        <v>58</v>
      </c>
      <c r="O9" s="9">
        <v>455.59800000000001</v>
      </c>
      <c r="Q9" s="24"/>
      <c r="R9" s="8" t="s">
        <v>31</v>
      </c>
      <c r="S9" s="9">
        <v>409.87200000000001</v>
      </c>
      <c r="U9" s="24"/>
      <c r="V9" s="8" t="s">
        <v>78</v>
      </c>
      <c r="W9" s="9">
        <v>497.85199999999998</v>
      </c>
    </row>
    <row r="10" spans="1:28" ht="15.75" customHeight="1" x14ac:dyDescent="0.25">
      <c r="A10" s="24"/>
      <c r="B10" s="10" t="s">
        <v>32</v>
      </c>
      <c r="C10" s="9">
        <v>517.62400000000002</v>
      </c>
      <c r="D10" s="20"/>
      <c r="E10" s="24"/>
      <c r="F10" s="8" t="s">
        <v>61</v>
      </c>
      <c r="G10" s="11" t="s">
        <v>24</v>
      </c>
      <c r="I10" s="24"/>
      <c r="J10" s="8" t="s">
        <v>33</v>
      </c>
      <c r="K10" s="9">
        <v>417.96699999999998</v>
      </c>
      <c r="M10" s="24"/>
      <c r="N10" s="8" t="s">
        <v>60</v>
      </c>
      <c r="O10" s="11" t="s">
        <v>24</v>
      </c>
      <c r="Q10" s="24"/>
      <c r="R10" s="8" t="s">
        <v>34</v>
      </c>
      <c r="S10" s="9">
        <v>413.12200000000001</v>
      </c>
      <c r="U10" s="24"/>
      <c r="V10" s="8" t="s">
        <v>79</v>
      </c>
      <c r="W10" s="9">
        <v>495.66199999999998</v>
      </c>
    </row>
    <row r="11" spans="1:28" ht="15.75" customHeight="1" x14ac:dyDescent="0.25">
      <c r="A11" s="24"/>
      <c r="B11" s="10" t="s">
        <v>35</v>
      </c>
      <c r="C11" s="9">
        <v>515.11</v>
      </c>
      <c r="D11" s="20"/>
      <c r="E11" s="24"/>
      <c r="F11" s="8" t="s">
        <v>63</v>
      </c>
      <c r="G11" s="9">
        <v>620.82799999999997</v>
      </c>
      <c r="I11" s="24"/>
      <c r="J11" s="8" t="s">
        <v>36</v>
      </c>
      <c r="K11" s="11" t="s">
        <v>24</v>
      </c>
      <c r="M11" s="24"/>
      <c r="N11" s="8" t="s">
        <v>62</v>
      </c>
      <c r="O11" s="11" t="s">
        <v>24</v>
      </c>
      <c r="Q11" s="24"/>
      <c r="R11" s="8" t="s">
        <v>37</v>
      </c>
      <c r="S11" s="9">
        <v>446.44</v>
      </c>
      <c r="U11" s="24"/>
      <c r="V11" s="8" t="s">
        <v>80</v>
      </c>
      <c r="W11" s="9">
        <v>476.78899999999999</v>
      </c>
    </row>
    <row r="12" spans="1:28" ht="15.75" customHeight="1" x14ac:dyDescent="0.25">
      <c r="A12" s="24"/>
      <c r="B12" s="10" t="s">
        <v>38</v>
      </c>
      <c r="C12" s="9">
        <v>495.43200000000002</v>
      </c>
      <c r="D12" s="20"/>
      <c r="E12" s="24"/>
      <c r="F12" s="8" t="s">
        <v>65</v>
      </c>
      <c r="G12" s="11" t="s">
        <v>24</v>
      </c>
      <c r="I12" s="24"/>
      <c r="J12" s="8" t="s">
        <v>39</v>
      </c>
      <c r="K12" s="11" t="s">
        <v>24</v>
      </c>
      <c r="M12" s="24"/>
      <c r="N12" s="8" t="s">
        <v>64</v>
      </c>
      <c r="O12" s="11" t="s">
        <v>24</v>
      </c>
      <c r="Q12" s="24"/>
      <c r="R12" s="8" t="s">
        <v>40</v>
      </c>
      <c r="S12" s="9">
        <v>443.73</v>
      </c>
      <c r="U12" s="24"/>
      <c r="V12" s="8" t="s">
        <v>81</v>
      </c>
      <c r="W12" s="9">
        <v>511.89100000000002</v>
      </c>
    </row>
    <row r="13" spans="1:28" ht="15.75" customHeight="1" x14ac:dyDescent="0.25">
      <c r="A13" s="24"/>
      <c r="B13" s="8" t="s">
        <v>41</v>
      </c>
      <c r="C13" s="9">
        <v>469.45699999999999</v>
      </c>
      <c r="D13" s="20"/>
      <c r="E13" s="24"/>
      <c r="F13" s="8" t="s">
        <v>67</v>
      </c>
      <c r="G13" s="18">
        <v>596.52800000000002</v>
      </c>
      <c r="I13" s="24"/>
      <c r="J13" s="8" t="s">
        <v>42</v>
      </c>
      <c r="K13" s="9">
        <v>381.928</v>
      </c>
      <c r="M13" s="24"/>
      <c r="N13" s="8" t="s">
        <v>66</v>
      </c>
      <c r="O13" s="9">
        <v>472.85300000000001</v>
      </c>
      <c r="Q13" s="24"/>
      <c r="R13" s="8" t="s">
        <v>43</v>
      </c>
      <c r="S13" s="9">
        <v>449.952</v>
      </c>
      <c r="U13" s="24"/>
      <c r="V13" s="8" t="s">
        <v>82</v>
      </c>
      <c r="W13" s="9">
        <v>451.87</v>
      </c>
    </row>
    <row r="14" spans="1:28" ht="15.75" customHeight="1" x14ac:dyDescent="0.25">
      <c r="A14" s="24"/>
      <c r="B14" s="8" t="s">
        <v>44</v>
      </c>
      <c r="C14" s="9">
        <v>520.72299999999996</v>
      </c>
      <c r="D14" s="20"/>
      <c r="E14" s="24"/>
      <c r="F14" s="8" t="s">
        <v>71</v>
      </c>
      <c r="G14" s="18">
        <v>555.45600000000002</v>
      </c>
      <c r="I14" s="24"/>
      <c r="J14" s="8" t="s">
        <v>5</v>
      </c>
      <c r="K14" s="9">
        <v>400.80700000000002</v>
      </c>
      <c r="M14" s="24"/>
      <c r="N14" s="8" t="s">
        <v>83</v>
      </c>
      <c r="O14" s="9">
        <v>437.738</v>
      </c>
      <c r="Q14" s="24"/>
      <c r="R14" s="8" t="s">
        <v>45</v>
      </c>
      <c r="S14" s="11" t="s">
        <v>24</v>
      </c>
      <c r="U14" s="24"/>
      <c r="V14" s="8" t="s">
        <v>84</v>
      </c>
      <c r="W14" s="9">
        <v>480.91899999999998</v>
      </c>
      <c r="Y14" s="21"/>
      <c r="Z14" s="21"/>
      <c r="AA14" s="21"/>
      <c r="AB14" s="21"/>
    </row>
    <row r="15" spans="1:28" ht="15.75" customHeight="1" x14ac:dyDescent="0.25">
      <c r="A15" s="24"/>
      <c r="B15" s="8" t="s">
        <v>46</v>
      </c>
      <c r="C15" s="9">
        <v>530.62</v>
      </c>
      <c r="D15" s="20"/>
      <c r="E15" s="24"/>
      <c r="F15" s="8" t="s">
        <v>72</v>
      </c>
      <c r="G15" s="18">
        <v>612.93100000000004</v>
      </c>
      <c r="I15" s="24"/>
      <c r="J15" s="8" t="s">
        <v>10</v>
      </c>
      <c r="K15" s="9">
        <v>447.58199999999999</v>
      </c>
      <c r="M15" s="24"/>
      <c r="N15" s="8" t="s">
        <v>85</v>
      </c>
      <c r="O15" s="9">
        <v>461.63600000000002</v>
      </c>
      <c r="Q15" s="24"/>
      <c r="R15" s="8" t="s">
        <v>47</v>
      </c>
      <c r="S15" s="9">
        <v>449.19499999999999</v>
      </c>
      <c r="U15" s="24"/>
      <c r="V15" s="8" t="s">
        <v>86</v>
      </c>
      <c r="W15" s="9">
        <v>482.16500000000002</v>
      </c>
    </row>
    <row r="16" spans="1:28" ht="15.75" customHeight="1" x14ac:dyDescent="0.25">
      <c r="A16" s="24"/>
      <c r="B16" s="8" t="s">
        <v>48</v>
      </c>
      <c r="C16" s="9">
        <v>532.30200000000002</v>
      </c>
      <c r="D16" s="20"/>
      <c r="E16" s="24"/>
      <c r="F16" s="8" t="s">
        <v>73</v>
      </c>
      <c r="G16" s="18">
        <v>593.53899999999999</v>
      </c>
      <c r="I16" s="24"/>
      <c r="J16" s="8" t="s">
        <v>13</v>
      </c>
      <c r="K16" s="9">
        <v>467.959</v>
      </c>
      <c r="M16" s="24"/>
      <c r="N16" s="8" t="s">
        <v>87</v>
      </c>
      <c r="O16" s="9">
        <v>467.43200000000002</v>
      </c>
      <c r="Q16" s="24"/>
      <c r="R16" s="8" t="s">
        <v>49</v>
      </c>
      <c r="S16" s="9">
        <v>467.31099999999998</v>
      </c>
      <c r="U16" s="24"/>
      <c r="V16" s="8" t="s">
        <v>88</v>
      </c>
      <c r="W16" s="9">
        <v>469.59</v>
      </c>
    </row>
    <row r="17" spans="1:28" ht="15.75" customHeight="1" x14ac:dyDescent="0.25">
      <c r="A17" s="24"/>
      <c r="B17" s="8" t="s">
        <v>50</v>
      </c>
      <c r="C17" s="9">
        <v>539.87</v>
      </c>
      <c r="D17" s="20"/>
      <c r="E17" s="24"/>
      <c r="F17" s="8" t="s">
        <v>74</v>
      </c>
      <c r="G17" s="18">
        <v>625.34699999999998</v>
      </c>
      <c r="I17" s="24"/>
      <c r="J17" s="10" t="s">
        <v>16</v>
      </c>
      <c r="K17" s="9">
        <v>406.49200000000002</v>
      </c>
      <c r="M17" s="24"/>
      <c r="N17" s="8" t="s">
        <v>89</v>
      </c>
      <c r="O17" s="9">
        <v>480.411</v>
      </c>
      <c r="Q17" s="24"/>
      <c r="R17" s="8" t="s">
        <v>51</v>
      </c>
      <c r="S17" s="9">
        <v>442.904</v>
      </c>
      <c r="U17" s="24"/>
      <c r="V17" s="8" t="s">
        <v>90</v>
      </c>
      <c r="W17" s="9">
        <v>484.31</v>
      </c>
    </row>
    <row r="18" spans="1:28" ht="15.75" customHeight="1" x14ac:dyDescent="0.25">
      <c r="A18" s="24"/>
      <c r="B18" s="8" t="s">
        <v>52</v>
      </c>
      <c r="C18" s="9">
        <v>516.23299999999995</v>
      </c>
      <c r="D18" s="20"/>
      <c r="E18" s="24"/>
      <c r="F18" s="8" t="s">
        <v>75</v>
      </c>
      <c r="G18" s="18">
        <v>606.38</v>
      </c>
      <c r="I18" s="24"/>
      <c r="J18" s="8" t="s">
        <v>19</v>
      </c>
      <c r="K18" s="9">
        <v>430.12299999999999</v>
      </c>
      <c r="M18" s="24"/>
      <c r="N18" s="8" t="s">
        <v>91</v>
      </c>
      <c r="O18" s="11" t="s">
        <v>24</v>
      </c>
      <c r="Q18" s="24"/>
      <c r="R18" s="8" t="s">
        <v>53</v>
      </c>
      <c r="S18" s="9">
        <v>449.27100000000002</v>
      </c>
      <c r="U18" s="24"/>
      <c r="V18" s="8" t="s">
        <v>92</v>
      </c>
      <c r="W18" s="9">
        <v>481.87099999999998</v>
      </c>
    </row>
    <row r="19" spans="1:28" ht="15.75" customHeight="1" x14ac:dyDescent="0.25">
      <c r="A19" s="24"/>
      <c r="B19" s="8" t="s">
        <v>54</v>
      </c>
      <c r="C19" s="11" t="s">
        <v>24</v>
      </c>
      <c r="D19" s="20"/>
      <c r="E19" s="24"/>
      <c r="F19" s="8" t="s">
        <v>76</v>
      </c>
      <c r="G19" s="18">
        <v>594.33199999999999</v>
      </c>
      <c r="I19" s="24"/>
      <c r="J19" s="8" t="s">
        <v>22</v>
      </c>
      <c r="K19" s="9">
        <v>425.21499999999997</v>
      </c>
      <c r="M19" s="24"/>
      <c r="N19" s="8" t="s">
        <v>93</v>
      </c>
      <c r="O19" s="11" t="s">
        <v>24</v>
      </c>
      <c r="Q19" s="24"/>
      <c r="R19" s="8" t="s">
        <v>55</v>
      </c>
      <c r="S19" s="9">
        <v>422.78699999999998</v>
      </c>
      <c r="U19" s="24"/>
      <c r="V19" s="8" t="s">
        <v>94</v>
      </c>
      <c r="W19" s="9">
        <v>483.50900000000001</v>
      </c>
    </row>
    <row r="20" spans="1:28" ht="15.75" customHeight="1" x14ac:dyDescent="0.25">
      <c r="A20" s="24"/>
      <c r="B20" s="8" t="s">
        <v>56</v>
      </c>
      <c r="C20" s="9">
        <v>529.04</v>
      </c>
      <c r="D20" s="20"/>
      <c r="E20" s="24"/>
      <c r="F20" s="8" t="s">
        <v>77</v>
      </c>
      <c r="G20" s="18">
        <v>599.90099999999995</v>
      </c>
      <c r="I20" s="24"/>
      <c r="J20" s="8" t="s">
        <v>26</v>
      </c>
      <c r="K20" s="11" t="s">
        <v>24</v>
      </c>
      <c r="M20" s="24"/>
      <c r="N20" s="8" t="s">
        <v>95</v>
      </c>
      <c r="O20" s="9">
        <v>438.60700000000003</v>
      </c>
      <c r="Q20" s="24"/>
      <c r="R20" s="8" t="s">
        <v>57</v>
      </c>
      <c r="S20" s="11" t="s">
        <v>24</v>
      </c>
      <c r="U20" s="24"/>
      <c r="V20" s="8" t="s">
        <v>96</v>
      </c>
      <c r="W20" s="9">
        <v>493.62099999999998</v>
      </c>
    </row>
    <row r="21" spans="1:28" ht="15.75" customHeight="1" x14ac:dyDescent="0.25">
      <c r="A21" s="24"/>
      <c r="B21" s="8" t="s">
        <v>58</v>
      </c>
      <c r="C21" s="9">
        <v>552.29100000000005</v>
      </c>
      <c r="D21" s="20"/>
      <c r="E21" s="24"/>
      <c r="F21" s="8" t="s">
        <v>78</v>
      </c>
      <c r="G21" s="18">
        <v>601.66899999999998</v>
      </c>
      <c r="I21" s="24"/>
      <c r="J21" s="8" t="s">
        <v>29</v>
      </c>
      <c r="K21" s="9">
        <v>401.05900000000003</v>
      </c>
      <c r="M21" s="24"/>
      <c r="N21" s="8" t="s">
        <v>97</v>
      </c>
      <c r="O21" s="9">
        <v>467.66699999999997</v>
      </c>
      <c r="Q21" s="24"/>
      <c r="R21" s="8" t="s">
        <v>59</v>
      </c>
      <c r="S21" s="9">
        <v>423.536</v>
      </c>
      <c r="U21" s="24"/>
      <c r="V21" s="8" t="s">
        <v>98</v>
      </c>
      <c r="W21" s="9">
        <v>456.67899999999997</v>
      </c>
    </row>
    <row r="22" spans="1:28" ht="15.75" customHeight="1" x14ac:dyDescent="0.25">
      <c r="A22" s="24"/>
      <c r="B22" s="8" t="s">
        <v>60</v>
      </c>
      <c r="C22" s="9">
        <v>520.23900000000003</v>
      </c>
      <c r="D22" s="20"/>
      <c r="E22" s="24"/>
      <c r="F22" s="8" t="s">
        <v>79</v>
      </c>
      <c r="G22" s="18">
        <v>586.447</v>
      </c>
      <c r="I22" s="24"/>
      <c r="J22" s="10" t="s">
        <v>32</v>
      </c>
      <c r="K22" s="9">
        <v>424.30599999999998</v>
      </c>
      <c r="M22" s="24"/>
      <c r="N22" s="8" t="s">
        <v>99</v>
      </c>
      <c r="O22" s="11" t="s">
        <v>24</v>
      </c>
      <c r="Q22" s="24"/>
      <c r="R22" s="8" t="s">
        <v>61</v>
      </c>
      <c r="S22" s="9">
        <v>435.78399999999999</v>
      </c>
      <c r="U22" s="24"/>
      <c r="V22" s="8" t="s">
        <v>100</v>
      </c>
      <c r="W22" s="9">
        <v>468.37400000000002</v>
      </c>
    </row>
    <row r="23" spans="1:28" ht="15.75" customHeight="1" x14ac:dyDescent="0.25">
      <c r="A23" s="24"/>
      <c r="B23" s="8" t="s">
        <v>62</v>
      </c>
      <c r="C23" s="9">
        <v>528.79200000000003</v>
      </c>
      <c r="D23" s="20"/>
      <c r="E23" s="24"/>
      <c r="F23" s="8" t="s">
        <v>80</v>
      </c>
      <c r="G23" s="18">
        <v>585.03899999999999</v>
      </c>
      <c r="I23" s="24"/>
      <c r="J23" s="10" t="s">
        <v>35</v>
      </c>
      <c r="K23" s="9">
        <v>413.43</v>
      </c>
      <c r="M23" s="24"/>
      <c r="N23" s="8" t="s">
        <v>101</v>
      </c>
      <c r="O23" s="9">
        <v>471.88099999999997</v>
      </c>
      <c r="Q23" s="24"/>
      <c r="R23" s="8" t="s">
        <v>63</v>
      </c>
      <c r="S23" s="9">
        <v>443.05700000000002</v>
      </c>
      <c r="U23" s="24"/>
      <c r="V23" s="8" t="s">
        <v>102</v>
      </c>
      <c r="W23" s="9">
        <v>448.05500000000001</v>
      </c>
    </row>
    <row r="24" spans="1:28" ht="15.75" customHeight="1" x14ac:dyDescent="0.25">
      <c r="A24" s="24"/>
      <c r="B24" s="8" t="s">
        <v>64</v>
      </c>
      <c r="C24" s="9">
        <v>523.51099999999997</v>
      </c>
      <c r="D24" s="20"/>
      <c r="E24" s="24"/>
      <c r="F24" s="8" t="s">
        <v>81</v>
      </c>
      <c r="G24" s="18">
        <v>582.43600000000004</v>
      </c>
      <c r="I24" s="24"/>
      <c r="J24" s="10" t="s">
        <v>38</v>
      </c>
      <c r="K24" s="11" t="s">
        <v>24</v>
      </c>
      <c r="M24" s="24"/>
      <c r="N24" s="8" t="s">
        <v>103</v>
      </c>
      <c r="O24" s="9">
        <v>456.94600000000003</v>
      </c>
      <c r="Q24" s="24"/>
      <c r="R24" s="8" t="s">
        <v>65</v>
      </c>
      <c r="S24" s="9">
        <v>458</v>
      </c>
      <c r="U24" s="24"/>
      <c r="V24" s="8" t="s">
        <v>104</v>
      </c>
      <c r="W24" s="9">
        <v>486.94299999999998</v>
      </c>
    </row>
    <row r="25" spans="1:28" ht="15.75" customHeight="1" x14ac:dyDescent="0.25">
      <c r="A25" s="25"/>
      <c r="B25" s="14" t="s">
        <v>66</v>
      </c>
      <c r="C25" s="15">
        <v>514.15800000000002</v>
      </c>
      <c r="D25" s="20"/>
      <c r="E25" s="25"/>
      <c r="F25" s="14" t="s">
        <v>82</v>
      </c>
      <c r="G25" s="19">
        <v>563.99199999999996</v>
      </c>
      <c r="I25" s="25"/>
      <c r="J25" s="14" t="s">
        <v>41</v>
      </c>
      <c r="K25" s="15">
        <v>419.96499999999997</v>
      </c>
      <c r="L25" s="22"/>
      <c r="M25" s="25"/>
      <c r="N25" s="14" t="s">
        <v>105</v>
      </c>
      <c r="O25" s="15">
        <v>467.21699999999998</v>
      </c>
      <c r="Q25" s="25"/>
      <c r="R25" s="14" t="s">
        <v>67</v>
      </c>
      <c r="S25" s="15">
        <v>444.41</v>
      </c>
      <c r="T25" s="22"/>
      <c r="U25" s="25"/>
      <c r="V25" s="14" t="s">
        <v>106</v>
      </c>
      <c r="W25" s="15">
        <v>456.39699999999999</v>
      </c>
      <c r="Y25" s="21"/>
      <c r="Z25" s="21"/>
      <c r="AA25" s="21"/>
      <c r="AB25" s="21"/>
    </row>
    <row r="26" spans="1:28" x14ac:dyDescent="0.2">
      <c r="A26" s="21">
        <v>521.80926086956515</v>
      </c>
      <c r="E26" s="21">
        <v>598.50947619047622</v>
      </c>
      <c r="I26" s="21">
        <v>413.71150000000006</v>
      </c>
      <c r="M26" s="21">
        <v>464.1935882352941</v>
      </c>
      <c r="Q26" s="21">
        <v>439.60085714285708</v>
      </c>
      <c r="U26" s="21">
        <v>479.60173913043479</v>
      </c>
    </row>
  </sheetData>
  <mergeCells count="6">
    <mergeCell ref="U2:U25"/>
    <mergeCell ref="A2:A25"/>
    <mergeCell ref="E2:E25"/>
    <mergeCell ref="I2:I25"/>
    <mergeCell ref="M2:M25"/>
    <mergeCell ref="Q2:Q25"/>
  </mergeCells>
  <printOptions horizontalCentered="1" gridLines="1"/>
  <pageMargins left="0.7" right="0.7" top="0.75" bottom="0.75" header="0" footer="0"/>
  <pageSetup paperSize="9" scale="56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500 cellswell + sup</vt:lpstr>
      <vt:lpstr>1000 cellswell + sup</vt:lpstr>
      <vt:lpstr>500 cellswell Red</vt:lpstr>
      <vt:lpstr>1000 cellswell Red</vt:lpstr>
      <vt:lpstr>500 cellswell Clear</vt:lpstr>
      <vt:lpstr>1000 cellswell Clear</vt:lpstr>
      <vt:lpstr>tO 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Stenning</cp:lastModifiedBy>
  <dcterms:modified xsi:type="dcterms:W3CDTF">2025-09-24T14:19:13Z</dcterms:modified>
</cp:coreProperties>
</file>