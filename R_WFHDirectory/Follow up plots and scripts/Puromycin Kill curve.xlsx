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userfs\jps558\w2k\Desktop\R_WorkingDirectory\Follow up plots and scripts\"/>
    </mc:Choice>
  </mc:AlternateContent>
  <xr:revisionPtr revIDLastSave="0" documentId="13_ncr:1_{1F90350C-2671-42D5-9BC9-B2002366BB69}" xr6:coauthVersionLast="47" xr6:coauthVersionMax="47" xr10:uidLastSave="{00000000-0000-0000-0000-000000000000}"/>
  <bookViews>
    <workbookView xWindow="1560" yWindow="1560" windowWidth="13815" windowHeight="75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O21" i="1"/>
  <c r="N21" i="1"/>
  <c r="M21" i="1"/>
  <c r="L21" i="1"/>
  <c r="K21" i="1"/>
  <c r="J21" i="1"/>
  <c r="I21" i="1"/>
  <c r="H21" i="1"/>
  <c r="G21" i="1"/>
  <c r="F21" i="1"/>
  <c r="E21" i="1"/>
  <c r="P20" i="1"/>
  <c r="O20" i="1"/>
  <c r="N20" i="1"/>
  <c r="M20" i="1"/>
  <c r="L20" i="1"/>
  <c r="K20" i="1"/>
  <c r="J20" i="1"/>
  <c r="I20" i="1"/>
  <c r="H20" i="1"/>
  <c r="G20" i="1"/>
  <c r="F20" i="1"/>
  <c r="E20" i="1"/>
  <c r="P19" i="1"/>
  <c r="O19" i="1"/>
  <c r="N19" i="1"/>
  <c r="M19" i="1"/>
  <c r="L19" i="1"/>
  <c r="K19" i="1"/>
  <c r="J19" i="1"/>
  <c r="I19" i="1"/>
  <c r="H19" i="1"/>
  <c r="G19" i="1"/>
  <c r="F19" i="1"/>
  <c r="E19" i="1"/>
  <c r="D21" i="1"/>
  <c r="C21" i="1"/>
  <c r="B21" i="1"/>
  <c r="D20" i="1"/>
  <c r="C20" i="1"/>
  <c r="B20" i="1"/>
  <c r="D19" i="1"/>
  <c r="C19" i="1"/>
  <c r="B19" i="1"/>
  <c r="E18" i="1"/>
  <c r="F18" i="1"/>
  <c r="G18" i="1"/>
  <c r="H18" i="1"/>
  <c r="I18" i="1"/>
  <c r="J18" i="1"/>
  <c r="K18" i="1"/>
  <c r="L18" i="1"/>
  <c r="M18" i="1"/>
  <c r="N18" i="1"/>
  <c r="O18" i="1"/>
  <c r="P18" i="1"/>
  <c r="D18" i="1"/>
  <c r="C18" i="1"/>
  <c r="B18" i="1"/>
  <c r="E17" i="1"/>
  <c r="F17" i="1"/>
  <c r="G17" i="1"/>
  <c r="H17" i="1"/>
  <c r="I17" i="1"/>
  <c r="J17" i="1"/>
  <c r="K17" i="1"/>
  <c r="L17" i="1"/>
  <c r="M17" i="1"/>
  <c r="N17" i="1"/>
  <c r="O17" i="1"/>
  <c r="P17" i="1"/>
  <c r="D17" i="1"/>
  <c r="C17" i="1"/>
  <c r="B17" i="1"/>
  <c r="E16" i="1"/>
  <c r="F16" i="1"/>
  <c r="G16" i="1"/>
  <c r="H16" i="1"/>
  <c r="I16" i="1"/>
  <c r="J16" i="1"/>
  <c r="K16" i="1"/>
  <c r="L16" i="1"/>
  <c r="M16" i="1"/>
  <c r="N16" i="1"/>
  <c r="O16" i="1"/>
  <c r="P16" i="1"/>
  <c r="D16" i="1"/>
  <c r="C16" i="1"/>
  <c r="B16" i="1"/>
  <c r="J15" i="1"/>
  <c r="H15" i="1"/>
  <c r="I15" i="1"/>
  <c r="K15" i="1"/>
  <c r="L15" i="1"/>
  <c r="M15" i="1"/>
  <c r="N15" i="1"/>
  <c r="O15" i="1"/>
  <c r="P15" i="1"/>
  <c r="D15" i="1"/>
  <c r="C15" i="1"/>
  <c r="B15" i="1"/>
  <c r="E14" i="1"/>
  <c r="F14" i="1"/>
  <c r="G14" i="1"/>
  <c r="H14" i="1"/>
  <c r="I14" i="1"/>
  <c r="J14" i="1"/>
  <c r="K14" i="1"/>
  <c r="L14" i="1"/>
  <c r="M14" i="1"/>
  <c r="N14" i="1"/>
  <c r="O14" i="1"/>
  <c r="P14" i="1"/>
  <c r="D14" i="1"/>
  <c r="C14" i="1"/>
  <c r="B14" i="1"/>
</calcChain>
</file>

<file path=xl/sharedStrings.xml><?xml version="1.0" encoding="utf-8"?>
<sst xmlns="http://schemas.openxmlformats.org/spreadsheetml/2006/main" count="32" uniqueCount="31">
  <si>
    <t>Puromycin concentration</t>
  </si>
  <si>
    <t>Day 1 Cell count 1</t>
  </si>
  <si>
    <t>Day 1 Cell count 2</t>
  </si>
  <si>
    <t>Day 1 Cell count 3</t>
  </si>
  <si>
    <t>Day 0 Cell count 1</t>
  </si>
  <si>
    <t>Day 0 Cell count 2</t>
  </si>
  <si>
    <t>Day 0 Cell count 3</t>
  </si>
  <si>
    <t>Day 2 Cell count 1</t>
  </si>
  <si>
    <t>Day 2 Cell count 2</t>
  </si>
  <si>
    <t>Day 2 Cell count 3</t>
  </si>
  <si>
    <t>Day 3 Cell count 1</t>
  </si>
  <si>
    <t>Day 3 Cell count 2</t>
  </si>
  <si>
    <t>Day 3 Cell count 3</t>
  </si>
  <si>
    <t>Day 4 Cell count 1</t>
  </si>
  <si>
    <t>Day 4 Cell count 2</t>
  </si>
  <si>
    <t>Day 4 Cell count 3</t>
  </si>
  <si>
    <t>Day 0 RS rep 1</t>
  </si>
  <si>
    <t>Day 0 RS rep 2</t>
  </si>
  <si>
    <t>Day 0 RS rep 3</t>
  </si>
  <si>
    <t>Day 1 RS rep 1</t>
  </si>
  <si>
    <t>Day 1 RS rep 2</t>
  </si>
  <si>
    <t>Day 1 RS rep 3</t>
  </si>
  <si>
    <t>Day 2 RS rep 1</t>
  </si>
  <si>
    <t>Day 2 RS rep 2</t>
  </si>
  <si>
    <t>Day 2 RS rep 3</t>
  </si>
  <si>
    <t>Day 3 RS rep 1</t>
  </si>
  <si>
    <t>Day 3 RS rep 2</t>
  </si>
  <si>
    <t>Day 3 RS rep 3</t>
  </si>
  <si>
    <t>Day 4 RS rep 1</t>
  </si>
  <si>
    <t>Day 4 RS rep 2</t>
  </si>
  <si>
    <t>Day 4 RS rep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</si>
</sst>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A13" workbookViewId="0">
      <selection activeCell="J4" sqref="J4"/>
    </sheetView>
  </sheetViews>
  <sheetFormatPr defaultRowHeight="15" x14ac:dyDescent="0.25"/>
  <cols>
    <col min="1" max="1" width="21" customWidth="1"/>
  </cols>
  <sheetData>
    <row r="1" spans="1:16" ht="39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2">
        <v>384</v>
      </c>
      <c r="C2" s="2">
        <v>417</v>
      </c>
      <c r="D2" s="2">
        <v>480</v>
      </c>
      <c r="E2" s="2">
        <v>384</v>
      </c>
      <c r="F2" s="2">
        <v>417</v>
      </c>
      <c r="G2" s="2">
        <v>480</v>
      </c>
      <c r="H2" s="2">
        <v>384</v>
      </c>
      <c r="I2" s="2">
        <v>417</v>
      </c>
      <c r="J2" s="2">
        <v>480</v>
      </c>
      <c r="K2" s="2">
        <v>384</v>
      </c>
      <c r="L2" s="2">
        <v>417</v>
      </c>
      <c r="M2" s="2">
        <v>480</v>
      </c>
      <c r="N2" s="2">
        <v>384</v>
      </c>
      <c r="O2" s="2">
        <v>417</v>
      </c>
      <c r="P2" s="2">
        <v>480</v>
      </c>
    </row>
    <row r="3" spans="1:16" x14ac:dyDescent="0.25">
      <c r="A3" s="2">
        <v>0.5</v>
      </c>
      <c r="B3" s="2">
        <v>713</v>
      </c>
      <c r="C3" s="2">
        <v>691</v>
      </c>
      <c r="D3" s="2">
        <v>403</v>
      </c>
      <c r="E3" s="2">
        <v>883</v>
      </c>
      <c r="F3" s="2">
        <v>757</v>
      </c>
      <c r="G3" s="2">
        <v>423</v>
      </c>
      <c r="H3" s="2">
        <v>342</v>
      </c>
      <c r="I3" s="2">
        <v>563</v>
      </c>
      <c r="J3" s="2">
        <v>403</v>
      </c>
      <c r="K3" s="2">
        <v>51</v>
      </c>
      <c r="L3" s="2">
        <v>49</v>
      </c>
      <c r="M3" s="2">
        <v>20</v>
      </c>
      <c r="N3" s="2">
        <v>27</v>
      </c>
      <c r="O3" s="2">
        <v>26</v>
      </c>
      <c r="P3" s="2">
        <v>12</v>
      </c>
    </row>
    <row r="4" spans="1:16" x14ac:dyDescent="0.25">
      <c r="A4" s="2">
        <v>1</v>
      </c>
      <c r="B4" s="2">
        <v>691</v>
      </c>
      <c r="C4" s="2">
        <v>350</v>
      </c>
      <c r="D4" s="2">
        <v>239</v>
      </c>
      <c r="E4" s="2">
        <v>510</v>
      </c>
      <c r="F4" s="2">
        <v>276</v>
      </c>
      <c r="G4" s="2">
        <v>203</v>
      </c>
      <c r="H4" s="2">
        <v>422</v>
      </c>
      <c r="I4" s="2">
        <v>270</v>
      </c>
      <c r="J4" s="2">
        <v>198</v>
      </c>
      <c r="K4" s="2">
        <v>2</v>
      </c>
      <c r="L4" s="2">
        <v>1</v>
      </c>
      <c r="M4" s="2">
        <v>4</v>
      </c>
      <c r="N4" s="2">
        <v>7</v>
      </c>
      <c r="O4" s="2">
        <v>6</v>
      </c>
      <c r="P4" s="2">
        <v>5</v>
      </c>
    </row>
    <row r="5" spans="1:16" x14ac:dyDescent="0.25">
      <c r="A5" s="2">
        <v>2</v>
      </c>
      <c r="B5" s="2">
        <v>368</v>
      </c>
      <c r="C5" s="2">
        <v>544</v>
      </c>
      <c r="D5" s="2">
        <v>793</v>
      </c>
      <c r="E5" s="2">
        <v>182</v>
      </c>
      <c r="F5" s="2">
        <v>228</v>
      </c>
      <c r="G5" s="2">
        <v>228</v>
      </c>
      <c r="H5" s="2">
        <v>154</v>
      </c>
      <c r="I5" s="2">
        <v>104</v>
      </c>
      <c r="J5" s="2">
        <v>195</v>
      </c>
      <c r="K5" s="2">
        <v>0</v>
      </c>
      <c r="L5" s="2">
        <v>3</v>
      </c>
      <c r="M5" s="2">
        <v>2</v>
      </c>
      <c r="N5" s="2">
        <v>0</v>
      </c>
      <c r="O5" s="2">
        <v>0</v>
      </c>
      <c r="P5" s="2">
        <v>0</v>
      </c>
    </row>
    <row r="6" spans="1:16" x14ac:dyDescent="0.25">
      <c r="A6" s="2">
        <v>4</v>
      </c>
      <c r="B6" s="2">
        <v>678</v>
      </c>
      <c r="C6" s="2">
        <v>631</v>
      </c>
      <c r="D6" s="2">
        <v>480</v>
      </c>
      <c r="E6" s="2">
        <v>263</v>
      </c>
      <c r="F6" s="2">
        <v>217</v>
      </c>
      <c r="G6" s="2">
        <v>137</v>
      </c>
      <c r="H6" s="2">
        <v>123</v>
      </c>
      <c r="I6" s="2">
        <v>102</v>
      </c>
      <c r="J6" s="2">
        <v>148</v>
      </c>
      <c r="K6" s="2">
        <v>3</v>
      </c>
      <c r="L6" s="2">
        <v>3</v>
      </c>
      <c r="M6" s="2">
        <v>8</v>
      </c>
      <c r="N6" s="2">
        <v>0</v>
      </c>
      <c r="O6" s="2">
        <v>0</v>
      </c>
      <c r="P6" s="2">
        <v>0</v>
      </c>
    </row>
    <row r="7" spans="1:16" x14ac:dyDescent="0.25">
      <c r="A7" s="2">
        <v>6</v>
      </c>
      <c r="B7" s="2">
        <v>559</v>
      </c>
      <c r="C7" s="2">
        <v>440</v>
      </c>
      <c r="D7" s="2">
        <v>779</v>
      </c>
      <c r="E7" s="2">
        <v>111</v>
      </c>
      <c r="F7" s="2">
        <v>194</v>
      </c>
      <c r="G7" s="2">
        <v>319</v>
      </c>
      <c r="H7" s="2">
        <v>65</v>
      </c>
      <c r="I7" s="2">
        <v>110</v>
      </c>
      <c r="J7" s="2">
        <v>217</v>
      </c>
      <c r="K7" s="2">
        <v>2</v>
      </c>
      <c r="L7" s="2">
        <v>5</v>
      </c>
      <c r="M7" s="2">
        <v>8</v>
      </c>
      <c r="N7" s="2">
        <v>0</v>
      </c>
      <c r="O7" s="2">
        <v>0</v>
      </c>
      <c r="P7" s="2">
        <v>0</v>
      </c>
    </row>
    <row r="8" spans="1:16" x14ac:dyDescent="0.25">
      <c r="A8" s="2">
        <v>8</v>
      </c>
      <c r="B8" s="2">
        <v>921</v>
      </c>
      <c r="C8" s="2">
        <v>629</v>
      </c>
      <c r="D8" s="2">
        <v>376</v>
      </c>
      <c r="E8" s="2">
        <v>184</v>
      </c>
      <c r="F8" s="2">
        <v>206</v>
      </c>
      <c r="G8" s="2">
        <v>300</v>
      </c>
      <c r="H8" s="2">
        <v>139</v>
      </c>
      <c r="I8" s="2">
        <v>100</v>
      </c>
      <c r="J8" s="2">
        <v>112</v>
      </c>
      <c r="K8" s="2">
        <v>3</v>
      </c>
      <c r="L8" s="2">
        <v>25</v>
      </c>
      <c r="M8" s="2">
        <v>13</v>
      </c>
      <c r="N8" s="2">
        <v>0</v>
      </c>
      <c r="O8" s="2">
        <v>0</v>
      </c>
      <c r="P8" s="2">
        <v>0</v>
      </c>
    </row>
    <row r="9" spans="1:16" x14ac:dyDescent="0.25">
      <c r="A9" s="2">
        <v>10</v>
      </c>
      <c r="B9" s="2">
        <v>664</v>
      </c>
      <c r="C9" s="2">
        <v>609</v>
      </c>
      <c r="D9" s="2">
        <v>549</v>
      </c>
      <c r="E9" s="2">
        <v>376</v>
      </c>
      <c r="F9" s="2">
        <v>238</v>
      </c>
      <c r="G9" s="2">
        <v>238</v>
      </c>
      <c r="H9" s="2">
        <v>177</v>
      </c>
      <c r="I9" s="2">
        <v>164</v>
      </c>
      <c r="J9" s="2">
        <v>129</v>
      </c>
      <c r="K9" s="2">
        <v>23</v>
      </c>
      <c r="L9" s="2">
        <v>13</v>
      </c>
      <c r="M9" s="2">
        <v>7</v>
      </c>
      <c r="N9" s="2">
        <v>0</v>
      </c>
      <c r="O9" s="2">
        <v>0</v>
      </c>
      <c r="P9" s="2">
        <v>0</v>
      </c>
    </row>
    <row r="12" spans="1:16" ht="15.75" thickBot="1" x14ac:dyDescent="0.3"/>
    <row r="13" spans="1:16" s="3" customFormat="1" ht="30" x14ac:dyDescent="0.25">
      <c r="A13" s="5" t="s">
        <v>0</v>
      </c>
      <c r="B13" s="7" t="s">
        <v>16</v>
      </c>
      <c r="C13" s="8" t="s">
        <v>17</v>
      </c>
      <c r="D13" s="9" t="s">
        <v>18</v>
      </c>
      <c r="E13" s="7" t="s">
        <v>19</v>
      </c>
      <c r="F13" s="8" t="s">
        <v>20</v>
      </c>
      <c r="G13" s="9" t="s">
        <v>21</v>
      </c>
      <c r="H13" s="7" t="s">
        <v>22</v>
      </c>
      <c r="I13" s="8" t="s">
        <v>23</v>
      </c>
      <c r="J13" s="9" t="s">
        <v>24</v>
      </c>
      <c r="K13" s="7" t="s">
        <v>25</v>
      </c>
      <c r="L13" s="8" t="s">
        <v>26</v>
      </c>
      <c r="M13" s="9" t="s">
        <v>27</v>
      </c>
      <c r="N13" s="7" t="s">
        <v>28</v>
      </c>
      <c r="O13" s="8" t="s">
        <v>29</v>
      </c>
      <c r="P13" s="9" t="s">
        <v>30</v>
      </c>
    </row>
    <row r="14" spans="1:16" x14ac:dyDescent="0.25">
      <c r="A14" s="6">
        <v>0</v>
      </c>
      <c r="B14" s="10">
        <f>(B2/$B$2)*100</f>
        <v>100</v>
      </c>
      <c r="C14" s="4">
        <f>(C2/$C$2)*100</f>
        <v>100</v>
      </c>
      <c r="D14" s="11">
        <f>(D2/$D$2)*100</f>
        <v>100</v>
      </c>
      <c r="E14" s="10">
        <f t="shared" ref="E14" si="0">(E2/$B$2)*100</f>
        <v>100</v>
      </c>
      <c r="F14" s="4">
        <f t="shared" ref="F14" si="1">(F2/$C$2)*100</f>
        <v>100</v>
      </c>
      <c r="G14" s="11">
        <f t="shared" ref="G14" si="2">(G2/$D$2)*100</f>
        <v>100</v>
      </c>
      <c r="H14" s="10">
        <f t="shared" ref="H14" si="3">(H2/$B$2)*100</f>
        <v>100</v>
      </c>
      <c r="I14" s="4">
        <f t="shared" ref="I14" si="4">(I2/$C$2)*100</f>
        <v>100</v>
      </c>
      <c r="J14" s="11">
        <f t="shared" ref="J14" si="5">(J2/$D$2)*100</f>
        <v>100</v>
      </c>
      <c r="K14" s="10">
        <f t="shared" ref="K14" si="6">(K2/$B$2)*100</f>
        <v>100</v>
      </c>
      <c r="L14" s="4">
        <f t="shared" ref="L14" si="7">(L2/$C$2)*100</f>
        <v>100</v>
      </c>
      <c r="M14" s="11">
        <f t="shared" ref="M14" si="8">(M2/$D$2)*100</f>
        <v>100</v>
      </c>
      <c r="N14" s="10">
        <f t="shared" ref="N14" si="9">(N2/$B$2)*100</f>
        <v>100</v>
      </c>
      <c r="O14" s="4">
        <f t="shared" ref="O14" si="10">(O2/$C$2)*100</f>
        <v>100</v>
      </c>
      <c r="P14" s="11">
        <f t="shared" ref="P14" si="11">(P2/$D$2)*100</f>
        <v>100</v>
      </c>
    </row>
    <row r="15" spans="1:16" x14ac:dyDescent="0.25">
      <c r="A15" s="6">
        <v>0.5</v>
      </c>
      <c r="B15" s="10">
        <f>(B3/$B$3)*100</f>
        <v>100</v>
      </c>
      <c r="C15" s="4">
        <f>(C3/$C$3)*100</f>
        <v>100</v>
      </c>
      <c r="D15" s="11">
        <f>(D3/$D$3)*100</f>
        <v>100</v>
      </c>
      <c r="E15" s="10">
        <v>100</v>
      </c>
      <c r="F15" s="4">
        <v>100</v>
      </c>
      <c r="G15" s="11">
        <v>100</v>
      </c>
      <c r="H15" s="10">
        <f t="shared" ref="H15" si="12">(H3/$B$3)*100</f>
        <v>47.966339410939689</v>
      </c>
      <c r="I15" s="4">
        <f t="shared" ref="I15" si="13">(I3/$C$3)*100</f>
        <v>81.476121562952244</v>
      </c>
      <c r="J15" s="11">
        <f>(J3/$D$3)*100</f>
        <v>100</v>
      </c>
      <c r="K15" s="10">
        <f t="shared" ref="K15" si="14">(K3/$B$3)*100</f>
        <v>7.1528751753155682</v>
      </c>
      <c r="L15" s="4">
        <f t="shared" ref="L15" si="15">(L3/$C$3)*100</f>
        <v>7.0911722141823441</v>
      </c>
      <c r="M15" s="11">
        <f t="shared" ref="M15" si="16">(M3/$D$3)*100</f>
        <v>4.9627791563275441</v>
      </c>
      <c r="N15" s="10">
        <f t="shared" ref="N15" si="17">(N3/$B$3)*100</f>
        <v>3.7868162692847123</v>
      </c>
      <c r="O15" s="4">
        <f t="shared" ref="O15" si="18">(O3/$C$3)*100</f>
        <v>3.7626628075253259</v>
      </c>
      <c r="P15" s="11">
        <f t="shared" ref="P15" si="19">(P3/$D$3)*100</f>
        <v>2.9776674937965262</v>
      </c>
    </row>
    <row r="16" spans="1:16" x14ac:dyDescent="0.25">
      <c r="A16" s="6">
        <v>1</v>
      </c>
      <c r="B16" s="10">
        <f>(B4/$B$4)*100</f>
        <v>100</v>
      </c>
      <c r="C16" s="4">
        <f>(C4/$C$4)*100</f>
        <v>100</v>
      </c>
      <c r="D16" s="11">
        <f>(D4/$D$4)*100</f>
        <v>100</v>
      </c>
      <c r="E16" s="10">
        <f t="shared" ref="E16" si="20">(E4/$B$4)*100</f>
        <v>73.806078147612155</v>
      </c>
      <c r="F16" s="4">
        <f t="shared" ref="F16" si="21">(F4/$C$4)*100</f>
        <v>78.857142857142861</v>
      </c>
      <c r="G16" s="11">
        <f t="shared" ref="G16" si="22">(G4/$D$4)*100</f>
        <v>84.937238493723854</v>
      </c>
      <c r="H16" s="10">
        <f t="shared" ref="H16" si="23">(H4/$B$4)*100</f>
        <v>61.070911722141815</v>
      </c>
      <c r="I16" s="4">
        <f t="shared" ref="I16" si="24">(I4/$C$4)*100</f>
        <v>77.142857142857153</v>
      </c>
      <c r="J16" s="11">
        <f t="shared" ref="J16" si="25">(J4/$D$4)*100</f>
        <v>82.845188284518827</v>
      </c>
      <c r="K16" s="10">
        <f t="shared" ref="K16" si="26">(K4/$B$4)*100</f>
        <v>0.28943560057887119</v>
      </c>
      <c r="L16" s="4">
        <f t="shared" ref="L16" si="27">(L4/$C$4)*100</f>
        <v>0.2857142857142857</v>
      </c>
      <c r="M16" s="11">
        <f t="shared" ref="M16" si="28">(M4/$D$4)*100</f>
        <v>1.6736401673640167</v>
      </c>
      <c r="N16" s="10">
        <f t="shared" ref="N16" si="29">(N4/$B$4)*100</f>
        <v>1.0130246020260492</v>
      </c>
      <c r="O16" s="4">
        <f t="shared" ref="O16" si="30">(O4/$C$4)*100</f>
        <v>1.7142857142857144</v>
      </c>
      <c r="P16" s="11">
        <f t="shared" ref="P16" si="31">(P4/$D$4)*100</f>
        <v>2.0920502092050208</v>
      </c>
    </row>
    <row r="17" spans="1:16" x14ac:dyDescent="0.25">
      <c r="A17" s="6">
        <v>2</v>
      </c>
      <c r="B17" s="10">
        <f>(B5/$B$5)*100</f>
        <v>100</v>
      </c>
      <c r="C17" s="4">
        <f>(C5/$C$5)*100</f>
        <v>100</v>
      </c>
      <c r="D17" s="11">
        <f>(D5/$D$5)*100</f>
        <v>100</v>
      </c>
      <c r="E17" s="10">
        <f t="shared" ref="E17" si="32">(E5/$B$5)*100</f>
        <v>49.45652173913043</v>
      </c>
      <c r="F17" s="4">
        <f t="shared" ref="F17" si="33">(F5/$C$5)*100</f>
        <v>41.911764705882355</v>
      </c>
      <c r="G17" s="11">
        <f t="shared" ref="G17" si="34">(G5/$D$5)*100</f>
        <v>28.7515762925599</v>
      </c>
      <c r="H17" s="10">
        <f t="shared" ref="H17" si="35">(H5/$B$5)*100</f>
        <v>41.847826086956523</v>
      </c>
      <c r="I17" s="4">
        <f t="shared" ref="I17" si="36">(I5/$C$5)*100</f>
        <v>19.117647058823529</v>
      </c>
      <c r="J17" s="11">
        <f t="shared" ref="J17" si="37">(J5/$D$5)*100</f>
        <v>24.590163934426229</v>
      </c>
      <c r="K17" s="10">
        <f t="shared" ref="K17" si="38">(K5/$B$5)*100</f>
        <v>0</v>
      </c>
      <c r="L17" s="4">
        <f t="shared" ref="L17" si="39">(L5/$C$5)*100</f>
        <v>0.55147058823529416</v>
      </c>
      <c r="M17" s="11">
        <f t="shared" ref="M17" si="40">(M5/$D$5)*100</f>
        <v>0.25220680958385877</v>
      </c>
      <c r="N17" s="10">
        <f t="shared" ref="N17" si="41">(N5/$B$5)*100</f>
        <v>0</v>
      </c>
      <c r="O17" s="4">
        <f t="shared" ref="O17" si="42">(O5/$C$5)*100</f>
        <v>0</v>
      </c>
      <c r="P17" s="11">
        <f t="shared" ref="P17" si="43">(P5/$D$5)*100</f>
        <v>0</v>
      </c>
    </row>
    <row r="18" spans="1:16" x14ac:dyDescent="0.25">
      <c r="A18" s="6">
        <v>4</v>
      </c>
      <c r="B18" s="10">
        <f>(B6/$B$6)*100</f>
        <v>100</v>
      </c>
      <c r="C18" s="4">
        <f>(C6/$C$6)*100</f>
        <v>100</v>
      </c>
      <c r="D18" s="11">
        <f>(D6/$D$6)*100</f>
        <v>100</v>
      </c>
      <c r="E18" s="10">
        <f t="shared" ref="E18" si="44">(E6/$B$6)*100</f>
        <v>38.790560471976399</v>
      </c>
      <c r="F18" s="4">
        <f t="shared" ref="F18" si="45">(F6/$C$6)*100</f>
        <v>34.389857369255154</v>
      </c>
      <c r="G18" s="11">
        <f t="shared" ref="G18" si="46">(G6/$D$6)*100</f>
        <v>28.541666666666664</v>
      </c>
      <c r="H18" s="10">
        <f t="shared" ref="H18" si="47">(H6/$B$6)*100</f>
        <v>18.141592920353983</v>
      </c>
      <c r="I18" s="4">
        <f t="shared" ref="I18" si="48">(I6/$C$6)*100</f>
        <v>16.164817749603806</v>
      </c>
      <c r="J18" s="11">
        <f t="shared" ref="J18" si="49">(J6/$D$6)*100</f>
        <v>30.833333333333336</v>
      </c>
      <c r="K18" s="10">
        <f t="shared" ref="K18" si="50">(K6/$B$6)*100</f>
        <v>0.44247787610619471</v>
      </c>
      <c r="L18" s="4">
        <f t="shared" ref="L18" si="51">(L6/$C$6)*100</f>
        <v>0.47543581616481778</v>
      </c>
      <c r="M18" s="11">
        <f t="shared" ref="M18" si="52">(M6/$D$6)*100</f>
        <v>1.6666666666666667</v>
      </c>
      <c r="N18" s="10">
        <f t="shared" ref="N18" si="53">(N6/$B$6)*100</f>
        <v>0</v>
      </c>
      <c r="O18" s="4">
        <f t="shared" ref="O18" si="54">(O6/$C$6)*100</f>
        <v>0</v>
      </c>
      <c r="P18" s="11">
        <f t="shared" ref="P18" si="55">(P6/$D$6)*100</f>
        <v>0</v>
      </c>
    </row>
    <row r="19" spans="1:16" x14ac:dyDescent="0.25">
      <c r="A19" s="6">
        <v>6</v>
      </c>
      <c r="B19" s="10">
        <f>(B7/$B$7)*100</f>
        <v>100</v>
      </c>
      <c r="C19" s="4">
        <f>(C7/$C$7)*100</f>
        <v>100</v>
      </c>
      <c r="D19" s="11">
        <f>(D7/$D$7)*100</f>
        <v>100</v>
      </c>
      <c r="E19" s="10">
        <f t="shared" ref="E19" si="56">(E7/$B$7)*100</f>
        <v>19.856887298747765</v>
      </c>
      <c r="F19" s="4">
        <f t="shared" ref="F19" si="57">(F7/$C$7)*100</f>
        <v>44.090909090909093</v>
      </c>
      <c r="G19" s="11">
        <f t="shared" ref="G19" si="58">(G7/$D$7)*100</f>
        <v>40.949935815147626</v>
      </c>
      <c r="H19" s="10">
        <f t="shared" ref="H19" si="59">(H7/$B$7)*100</f>
        <v>11.627906976744185</v>
      </c>
      <c r="I19" s="4">
        <f t="shared" ref="I19" si="60">(I7/$C$7)*100</f>
        <v>25</v>
      </c>
      <c r="J19" s="11">
        <f t="shared" ref="J19" si="61">(J7/$D$7)*100</f>
        <v>27.856225930680363</v>
      </c>
      <c r="K19" s="10">
        <f t="shared" ref="K19" si="62">(K7/$B$7)*100</f>
        <v>0.35778175313059035</v>
      </c>
      <c r="L19" s="4">
        <f t="shared" ref="L19" si="63">(L7/$C$7)*100</f>
        <v>1.1363636363636365</v>
      </c>
      <c r="M19" s="11">
        <f t="shared" ref="M19" si="64">(M7/$D$7)*100</f>
        <v>1.0269576379974326</v>
      </c>
      <c r="N19" s="10">
        <f t="shared" ref="N19" si="65">(N7/$B$7)*100</f>
        <v>0</v>
      </c>
      <c r="O19" s="4">
        <f t="shared" ref="O19" si="66">(O7/$C$7)*100</f>
        <v>0</v>
      </c>
      <c r="P19" s="11">
        <f t="shared" ref="P19" si="67">(P7/$D$7)*100</f>
        <v>0</v>
      </c>
    </row>
    <row r="20" spans="1:16" x14ac:dyDescent="0.25">
      <c r="A20" s="6">
        <v>8</v>
      </c>
      <c r="B20" s="10">
        <f>(B8/$B$8)*100</f>
        <v>100</v>
      </c>
      <c r="C20" s="4">
        <f>(C8/$C$8)*100</f>
        <v>100</v>
      </c>
      <c r="D20" s="11">
        <f>(D8/$D$8)*100</f>
        <v>100</v>
      </c>
      <c r="E20" s="10">
        <f t="shared" ref="E20" si="68">(E8/$B$8)*100</f>
        <v>19.978284473398482</v>
      </c>
      <c r="F20" s="4">
        <f t="shared" ref="F20" si="69">(F8/$C$8)*100</f>
        <v>32.750397456279813</v>
      </c>
      <c r="G20" s="11">
        <f t="shared" ref="G20" si="70">(G8/$D$8)*100</f>
        <v>79.787234042553195</v>
      </c>
      <c r="H20" s="10">
        <f t="shared" ref="H20" si="71">(H8/$B$8)*100</f>
        <v>15.092290988056462</v>
      </c>
      <c r="I20" s="4">
        <f t="shared" ref="I20" si="72">(I8/$C$8)*100</f>
        <v>15.898251192368839</v>
      </c>
      <c r="J20" s="11">
        <f t="shared" ref="J20" si="73">(J8/$D$8)*100</f>
        <v>29.787234042553191</v>
      </c>
      <c r="K20" s="10">
        <f t="shared" ref="K20" si="74">(K8/$B$8)*100</f>
        <v>0.32573289902280134</v>
      </c>
      <c r="L20" s="4">
        <f t="shared" ref="L20" si="75">(L8/$C$8)*100</f>
        <v>3.9745627980922098</v>
      </c>
      <c r="M20" s="11">
        <f t="shared" ref="M20" si="76">(M8/$D$8)*100</f>
        <v>3.4574468085106385</v>
      </c>
      <c r="N20" s="10">
        <f t="shared" ref="N20" si="77">(N8/$B$8)*100</f>
        <v>0</v>
      </c>
      <c r="O20" s="4">
        <f t="shared" ref="O20" si="78">(O8/$C$8)*100</f>
        <v>0</v>
      </c>
      <c r="P20" s="11">
        <f t="shared" ref="P20" si="79">(P8/$D$8)*100</f>
        <v>0</v>
      </c>
    </row>
    <row r="21" spans="1:16" ht="15.75" thickBot="1" x14ac:dyDescent="0.3">
      <c r="A21" s="6">
        <v>10</v>
      </c>
      <c r="B21" s="12">
        <f>(B9/$B$9)*100</f>
        <v>100</v>
      </c>
      <c r="C21" s="13">
        <f>(C9/$C$9)*100</f>
        <v>100</v>
      </c>
      <c r="D21" s="14">
        <f>(D9/$D$9)*100</f>
        <v>100</v>
      </c>
      <c r="E21" s="12">
        <f t="shared" ref="E21" si="80">(E9/$B$9)*100</f>
        <v>56.626506024096393</v>
      </c>
      <c r="F21" s="13">
        <f t="shared" ref="F21" si="81">(F9/$C$9)*100</f>
        <v>39.080459770114942</v>
      </c>
      <c r="G21" s="14">
        <f t="shared" ref="G21" si="82">(G9/$D$9)*100</f>
        <v>43.351548269581059</v>
      </c>
      <c r="H21" s="12">
        <f t="shared" ref="H21" si="83">(H9/$B$9)*100</f>
        <v>26.656626506024097</v>
      </c>
      <c r="I21" s="13">
        <f t="shared" ref="I21" si="84">(I9/$C$9)*100</f>
        <v>26.929392446633827</v>
      </c>
      <c r="J21" s="14">
        <f t="shared" ref="J21" si="85">(J9/$D$9)*100</f>
        <v>23.497267759562842</v>
      </c>
      <c r="K21" s="12">
        <f t="shared" ref="K21" si="86">(K9/$B$9)*100</f>
        <v>3.463855421686747</v>
      </c>
      <c r="L21" s="13">
        <f t="shared" ref="L21" si="87">(L9/$C$9)*100</f>
        <v>2.1346469622331692</v>
      </c>
      <c r="M21" s="14">
        <f t="shared" ref="M21" si="88">(M9/$D$9)*100</f>
        <v>1.2750455373406193</v>
      </c>
      <c r="N21" s="12">
        <f t="shared" ref="N21" si="89">(N9/$B$9)*100</f>
        <v>0</v>
      </c>
      <c r="O21" s="13">
        <f t="shared" ref="O21" si="90">(O9/$C$9)*100</f>
        <v>0</v>
      </c>
      <c r="P21" s="14">
        <f t="shared" ref="P21" si="91">(P9/$D$9)*100</f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2015-06-05T18:17:20Z</dcterms:created>
  <dcterms:modified xsi:type="dcterms:W3CDTF">2025-02-14T13:12:26Z</dcterms:modified>
</cp:coreProperties>
</file>